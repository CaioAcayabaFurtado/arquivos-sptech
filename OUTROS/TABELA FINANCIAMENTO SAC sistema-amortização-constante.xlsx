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do Verri\OneDrive - SPTech School\_SPTech\Pessoal\Histórico de Caixa\"/>
    </mc:Choice>
  </mc:AlternateContent>
  <xr:revisionPtr revIDLastSave="0" documentId="13_ncr:1_{75FDF177-67C0-473B-89FF-7D62F68DC84B}" xr6:coauthVersionLast="47" xr6:coauthVersionMax="47" xr10:uidLastSave="{00000000-0000-0000-0000-000000000000}"/>
  <bookViews>
    <workbookView xWindow="-120" yWindow="-120" windowWidth="20730" windowHeight="11040" activeTab="1" xr2:uid="{60228A40-26EA-4D3E-89FD-678FB07810F9}"/>
  </bookViews>
  <sheets>
    <sheet name="30a" sheetId="1" r:id="rId1"/>
    <sheet name="Iterativa" sheetId="2" r:id="rId2"/>
    <sheet name="tes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C8" i="3"/>
  <c r="D5" i="3"/>
  <c r="C9" i="3"/>
  <c r="C6" i="3"/>
  <c r="C4" i="3"/>
  <c r="C12" i="3" s="1"/>
  <c r="C4" i="2"/>
  <c r="C12" i="2" s="1"/>
  <c r="C9" i="2"/>
  <c r="C8" i="2"/>
  <c r="C6" i="2"/>
  <c r="C9" i="1"/>
  <c r="C6" i="1"/>
  <c r="D12" i="3" l="1"/>
  <c r="E12" i="3" s="1"/>
  <c r="F12" i="3"/>
  <c r="G2" i="3"/>
  <c r="F12" i="2"/>
  <c r="G2" i="2"/>
  <c r="E12" i="2"/>
  <c r="C4" i="1"/>
  <c r="C8" i="1"/>
  <c r="G12" i="3" l="1"/>
  <c r="I12" i="3" s="1"/>
  <c r="J12" i="3" s="1"/>
  <c r="C13" i="3" s="1"/>
  <c r="G12" i="2"/>
  <c r="I12" i="2" s="1"/>
  <c r="F201" i="1"/>
  <c r="G2" i="1"/>
  <c r="C12" i="1"/>
  <c r="D12" i="1" s="1"/>
  <c r="E12" i="1" s="1"/>
  <c r="F313" i="1"/>
  <c r="F249" i="1"/>
  <c r="F185" i="1"/>
  <c r="F361" i="1"/>
  <c r="F297" i="1"/>
  <c r="F233" i="1"/>
  <c r="F169" i="1"/>
  <c r="F345" i="1"/>
  <c r="F281" i="1"/>
  <c r="F217" i="1"/>
  <c r="F95" i="1"/>
  <c r="F329" i="1"/>
  <c r="F265" i="1"/>
  <c r="F125" i="1"/>
  <c r="F151" i="1"/>
  <c r="F113" i="1"/>
  <c r="F120" i="1"/>
  <c r="F127" i="1"/>
  <c r="F135" i="1"/>
  <c r="F141" i="1"/>
  <c r="F147" i="1"/>
  <c r="F153" i="1"/>
  <c r="F158" i="1"/>
  <c r="F162" i="1"/>
  <c r="F166" i="1"/>
  <c r="F170" i="1"/>
  <c r="F174" i="1"/>
  <c r="F178" i="1"/>
  <c r="F182" i="1"/>
  <c r="F186" i="1"/>
  <c r="F190" i="1"/>
  <c r="F194" i="1"/>
  <c r="F198" i="1"/>
  <c r="F202" i="1"/>
  <c r="F206" i="1"/>
  <c r="F210" i="1"/>
  <c r="F214" i="1"/>
  <c r="F218" i="1"/>
  <c r="F222" i="1"/>
  <c r="F226" i="1"/>
  <c r="F230" i="1"/>
  <c r="F234" i="1"/>
  <c r="F238" i="1"/>
  <c r="F242" i="1"/>
  <c r="F246" i="1"/>
  <c r="F250" i="1"/>
  <c r="F254" i="1"/>
  <c r="F258" i="1"/>
  <c r="F262" i="1"/>
  <c r="F266" i="1"/>
  <c r="F270" i="1"/>
  <c r="F274" i="1"/>
  <c r="F278" i="1"/>
  <c r="F282" i="1"/>
  <c r="F286" i="1"/>
  <c r="F290" i="1"/>
  <c r="F294" i="1"/>
  <c r="F298" i="1"/>
  <c r="F302" i="1"/>
  <c r="F306" i="1"/>
  <c r="F310" i="1"/>
  <c r="F314" i="1"/>
  <c r="F318" i="1"/>
  <c r="F322" i="1"/>
  <c r="F326" i="1"/>
  <c r="F330" i="1"/>
  <c r="F334" i="1"/>
  <c r="F338" i="1"/>
  <c r="F342" i="1"/>
  <c r="F346" i="1"/>
  <c r="F350" i="1"/>
  <c r="F354" i="1"/>
  <c r="F358" i="1"/>
  <c r="F362" i="1"/>
  <c r="F366" i="1"/>
  <c r="F370" i="1"/>
  <c r="F327" i="1"/>
  <c r="F339" i="1"/>
  <c r="F347" i="1"/>
  <c r="F355" i="1"/>
  <c r="F363" i="1"/>
  <c r="F367" i="1"/>
  <c r="F29" i="1"/>
  <c r="F51" i="1"/>
  <c r="F72" i="1"/>
  <c r="F93" i="1"/>
  <c r="F109" i="1"/>
  <c r="F116" i="1"/>
  <c r="F131" i="1"/>
  <c r="F145" i="1"/>
  <c r="F155" i="1"/>
  <c r="F160" i="1"/>
  <c r="F168" i="1"/>
  <c r="F176" i="1"/>
  <c r="F184" i="1"/>
  <c r="F192" i="1"/>
  <c r="F196" i="1"/>
  <c r="F204" i="1"/>
  <c r="F212" i="1"/>
  <c r="F216" i="1"/>
  <c r="F224" i="1"/>
  <c r="F232" i="1"/>
  <c r="F240" i="1"/>
  <c r="F248" i="1"/>
  <c r="F256" i="1"/>
  <c r="F264" i="1"/>
  <c r="F272" i="1"/>
  <c r="F280" i="1"/>
  <c r="F288" i="1"/>
  <c r="F296" i="1"/>
  <c r="F308" i="1"/>
  <c r="F316" i="1"/>
  <c r="F324" i="1"/>
  <c r="F332" i="1"/>
  <c r="F340" i="1"/>
  <c r="F348" i="1"/>
  <c r="F356" i="1"/>
  <c r="F360" i="1"/>
  <c r="F12" i="1"/>
  <c r="F25" i="1"/>
  <c r="F36" i="1"/>
  <c r="F47" i="1"/>
  <c r="F57" i="1"/>
  <c r="F68" i="1"/>
  <c r="F79" i="1"/>
  <c r="F89" i="1"/>
  <c r="F100" i="1"/>
  <c r="F108" i="1"/>
  <c r="F115" i="1"/>
  <c r="F121" i="1"/>
  <c r="F129" i="1"/>
  <c r="F136" i="1"/>
  <c r="F143" i="1"/>
  <c r="F149" i="1"/>
  <c r="F154" i="1"/>
  <c r="F159" i="1"/>
  <c r="F163" i="1"/>
  <c r="F167" i="1"/>
  <c r="F171" i="1"/>
  <c r="F175" i="1"/>
  <c r="F179" i="1"/>
  <c r="F183" i="1"/>
  <c r="F187" i="1"/>
  <c r="F191" i="1"/>
  <c r="F195" i="1"/>
  <c r="F199" i="1"/>
  <c r="F203" i="1"/>
  <c r="F207" i="1"/>
  <c r="F211" i="1"/>
  <c r="F215" i="1"/>
  <c r="F219" i="1"/>
  <c r="F223" i="1"/>
  <c r="F227" i="1"/>
  <c r="F231" i="1"/>
  <c r="F235" i="1"/>
  <c r="F239" i="1"/>
  <c r="F243" i="1"/>
  <c r="F247" i="1"/>
  <c r="F251" i="1"/>
  <c r="F255" i="1"/>
  <c r="F259" i="1"/>
  <c r="F263" i="1"/>
  <c r="F267" i="1"/>
  <c r="F271" i="1"/>
  <c r="F275" i="1"/>
  <c r="F279" i="1"/>
  <c r="F283" i="1"/>
  <c r="F287" i="1"/>
  <c r="F291" i="1"/>
  <c r="F295" i="1"/>
  <c r="F299" i="1"/>
  <c r="F303" i="1"/>
  <c r="F307" i="1"/>
  <c r="F311" i="1"/>
  <c r="F315" i="1"/>
  <c r="F319" i="1"/>
  <c r="F323" i="1"/>
  <c r="F331" i="1"/>
  <c r="F335" i="1"/>
  <c r="F343" i="1"/>
  <c r="F351" i="1"/>
  <c r="F359" i="1"/>
  <c r="F371" i="1"/>
  <c r="F18" i="1"/>
  <c r="F40" i="1"/>
  <c r="F61" i="1"/>
  <c r="F83" i="1"/>
  <c r="F103" i="1"/>
  <c r="F124" i="1"/>
  <c r="F137" i="1"/>
  <c r="F150" i="1"/>
  <c r="F164" i="1"/>
  <c r="F172" i="1"/>
  <c r="F180" i="1"/>
  <c r="F188" i="1"/>
  <c r="F200" i="1"/>
  <c r="F208" i="1"/>
  <c r="F220" i="1"/>
  <c r="F228" i="1"/>
  <c r="F236" i="1"/>
  <c r="F244" i="1"/>
  <c r="F252" i="1"/>
  <c r="F260" i="1"/>
  <c r="F268" i="1"/>
  <c r="F276" i="1"/>
  <c r="F284" i="1"/>
  <c r="F292" i="1"/>
  <c r="F300" i="1"/>
  <c r="F304" i="1"/>
  <c r="F312" i="1"/>
  <c r="F320" i="1"/>
  <c r="F328" i="1"/>
  <c r="F336" i="1"/>
  <c r="F344" i="1"/>
  <c r="F352" i="1"/>
  <c r="F364" i="1"/>
  <c r="F368" i="1"/>
  <c r="F341" i="1"/>
  <c r="F309" i="1"/>
  <c r="F277" i="1"/>
  <c r="F245" i="1"/>
  <c r="F229" i="1"/>
  <c r="F213" i="1"/>
  <c r="F197" i="1"/>
  <c r="F181" i="1"/>
  <c r="F165" i="1"/>
  <c r="F146" i="1"/>
  <c r="F119" i="1"/>
  <c r="F84" i="1"/>
  <c r="F41" i="1"/>
  <c r="F369" i="1"/>
  <c r="F353" i="1"/>
  <c r="F337" i="1"/>
  <c r="F321" i="1"/>
  <c r="F305" i="1"/>
  <c r="F289" i="1"/>
  <c r="F273" i="1"/>
  <c r="F257" i="1"/>
  <c r="F241" i="1"/>
  <c r="F225" i="1"/>
  <c r="F209" i="1"/>
  <c r="F193" i="1"/>
  <c r="F177" i="1"/>
  <c r="F161" i="1"/>
  <c r="F140" i="1"/>
  <c r="F111" i="1"/>
  <c r="F73" i="1"/>
  <c r="F31" i="1"/>
  <c r="F52" i="1"/>
  <c r="F357" i="1"/>
  <c r="F325" i="1"/>
  <c r="F293" i="1"/>
  <c r="F261" i="1"/>
  <c r="F365" i="1"/>
  <c r="F349" i="1"/>
  <c r="F333" i="1"/>
  <c r="F317" i="1"/>
  <c r="F301" i="1"/>
  <c r="F285" i="1"/>
  <c r="F269" i="1"/>
  <c r="F253" i="1"/>
  <c r="F237" i="1"/>
  <c r="F221" i="1"/>
  <c r="F205" i="1"/>
  <c r="F189" i="1"/>
  <c r="F173" i="1"/>
  <c r="F157" i="1"/>
  <c r="F132" i="1"/>
  <c r="F104" i="1"/>
  <c r="F63" i="1"/>
  <c r="F19" i="1"/>
  <c r="F13" i="1"/>
  <c r="F16" i="1"/>
  <c r="F22" i="1"/>
  <c r="F26" i="1"/>
  <c r="F30" i="1"/>
  <c r="F34" i="1"/>
  <c r="F38" i="1"/>
  <c r="F42" i="1"/>
  <c r="F46" i="1"/>
  <c r="F50" i="1"/>
  <c r="F54" i="1"/>
  <c r="F58" i="1"/>
  <c r="F62" i="1"/>
  <c r="F66" i="1"/>
  <c r="F70" i="1"/>
  <c r="F74" i="1"/>
  <c r="F78" i="1"/>
  <c r="F82" i="1"/>
  <c r="F86" i="1"/>
  <c r="F90" i="1"/>
  <c r="F94" i="1"/>
  <c r="F98" i="1"/>
  <c r="F102" i="1"/>
  <c r="F106" i="1"/>
  <c r="F110" i="1"/>
  <c r="F114" i="1"/>
  <c r="F118" i="1"/>
  <c r="F122" i="1"/>
  <c r="F126" i="1"/>
  <c r="F130" i="1"/>
  <c r="F134" i="1"/>
  <c r="F138" i="1"/>
  <c r="F142" i="1"/>
  <c r="F14" i="1"/>
  <c r="F20" i="1"/>
  <c r="F27" i="1"/>
  <c r="F32" i="1"/>
  <c r="F37" i="1"/>
  <c r="F43" i="1"/>
  <c r="F48" i="1"/>
  <c r="F53" i="1"/>
  <c r="F59" i="1"/>
  <c r="F64" i="1"/>
  <c r="F69" i="1"/>
  <c r="F75" i="1"/>
  <c r="F80" i="1"/>
  <c r="F85" i="1"/>
  <c r="F91" i="1"/>
  <c r="F96" i="1"/>
  <c r="F101" i="1"/>
  <c r="F107" i="1"/>
  <c r="F112" i="1"/>
  <c r="F117" i="1"/>
  <c r="F123" i="1"/>
  <c r="F128" i="1"/>
  <c r="F133" i="1"/>
  <c r="F139" i="1"/>
  <c r="F144" i="1"/>
  <c r="F148" i="1"/>
  <c r="F152" i="1"/>
  <c r="F156" i="1"/>
  <c r="F15" i="1"/>
  <c r="F23" i="1"/>
  <c r="F28" i="1"/>
  <c r="F33" i="1"/>
  <c r="F39" i="1"/>
  <c r="F44" i="1"/>
  <c r="F49" i="1"/>
  <c r="F55" i="1"/>
  <c r="F60" i="1"/>
  <c r="F65" i="1"/>
  <c r="F71" i="1"/>
  <c r="F76" i="1"/>
  <c r="F81" i="1"/>
  <c r="F87" i="1"/>
  <c r="F92" i="1"/>
  <c r="F97" i="1"/>
  <c r="F105" i="1"/>
  <c r="F99" i="1"/>
  <c r="F88" i="1"/>
  <c r="F77" i="1"/>
  <c r="F67" i="1"/>
  <c r="F56" i="1"/>
  <c r="F45" i="1"/>
  <c r="F35" i="1"/>
  <c r="F24" i="1"/>
  <c r="F21" i="1"/>
  <c r="F17" i="1"/>
  <c r="F13" i="3" l="1"/>
  <c r="D13" i="3"/>
  <c r="E13" i="3" s="1"/>
  <c r="J12" i="2"/>
  <c r="G12" i="1"/>
  <c r="G13" i="3" l="1"/>
  <c r="I13" i="3" s="1"/>
  <c r="J13" i="3" s="1"/>
  <c r="C14" i="3" s="1"/>
  <c r="I12" i="1"/>
  <c r="J12" i="1" s="1"/>
  <c r="C13" i="1" s="1"/>
  <c r="D13" i="1" s="1"/>
  <c r="G13" i="1" s="1"/>
  <c r="I13" i="1" s="1"/>
  <c r="F14" i="3" l="1"/>
  <c r="D14" i="3"/>
  <c r="G5" i="1"/>
  <c r="E13" i="1"/>
  <c r="G14" i="3" l="1"/>
  <c r="I14" i="3" s="1"/>
  <c r="E14" i="3"/>
  <c r="J13" i="1"/>
  <c r="C14" i="1" s="1"/>
  <c r="D14" i="1" s="1"/>
  <c r="G14" i="1" s="1"/>
  <c r="I14" i="1" s="1"/>
  <c r="J14" i="3" l="1"/>
  <c r="C15" i="3" s="1"/>
  <c r="D15" i="3" s="1"/>
  <c r="E15" i="3" s="1"/>
  <c r="E14" i="1"/>
  <c r="F15" i="3" l="1"/>
  <c r="G15" i="3" s="1"/>
  <c r="I15" i="3" s="1"/>
  <c r="J15" i="3" s="1"/>
  <c r="C16" i="3" s="1"/>
  <c r="J14" i="1"/>
  <c r="C15" i="1" s="1"/>
  <c r="D15" i="1" s="1"/>
  <c r="G15" i="1" s="1"/>
  <c r="I15" i="1" s="1"/>
  <c r="D16" i="3" l="1"/>
  <c r="E16" i="3" s="1"/>
  <c r="F16" i="3"/>
  <c r="E15" i="1"/>
  <c r="G16" i="3" l="1"/>
  <c r="I16" i="3" s="1"/>
  <c r="J16" i="3" s="1"/>
  <c r="C17" i="3" s="1"/>
  <c r="J15" i="1"/>
  <c r="C16" i="1" s="1"/>
  <c r="F17" i="3" l="1"/>
  <c r="D17" i="3"/>
  <c r="E17" i="3" s="1"/>
  <c r="D16" i="1"/>
  <c r="G16" i="1" s="1"/>
  <c r="I16" i="1" s="1"/>
  <c r="G17" i="3" l="1"/>
  <c r="I17" i="3" s="1"/>
  <c r="J17" i="3" s="1"/>
  <c r="C18" i="3" s="1"/>
  <c r="F18" i="3" s="1"/>
  <c r="E16" i="1"/>
  <c r="D18" i="3" l="1"/>
  <c r="E18" i="3" s="1"/>
  <c r="J16" i="1"/>
  <c r="C17" i="1" s="1"/>
  <c r="G18" i="3" l="1"/>
  <c r="I18" i="3" s="1"/>
  <c r="J18" i="3" s="1"/>
  <c r="C19" i="3" s="1"/>
  <c r="F19" i="3" s="1"/>
  <c r="D17" i="1"/>
  <c r="G17" i="1" s="1"/>
  <c r="I17" i="1" s="1"/>
  <c r="D19" i="3" l="1"/>
  <c r="E19" i="3" s="1"/>
  <c r="E17" i="1"/>
  <c r="J17" i="1" s="1"/>
  <c r="C18" i="1" s="1"/>
  <c r="G19" i="3" l="1"/>
  <c r="I19" i="3" s="1"/>
  <c r="J19" i="3" s="1"/>
  <c r="C20" i="3" s="1"/>
  <c r="F20" i="3" s="1"/>
  <c r="D18" i="1"/>
  <c r="G18" i="1" s="1"/>
  <c r="I18" i="1" s="1"/>
  <c r="D20" i="3" l="1"/>
  <c r="E20" i="3" s="1"/>
  <c r="E18" i="1"/>
  <c r="J18" i="1" s="1"/>
  <c r="C19" i="1" s="1"/>
  <c r="G20" i="3" l="1"/>
  <c r="I20" i="3" s="1"/>
  <c r="J20" i="3" s="1"/>
  <c r="C21" i="3" s="1"/>
  <c r="D19" i="1"/>
  <c r="G19" i="1" s="1"/>
  <c r="I19" i="1" s="1"/>
  <c r="F21" i="3" l="1"/>
  <c r="D21" i="3"/>
  <c r="E21" i="3" s="1"/>
  <c r="E19" i="1"/>
  <c r="J19" i="1" s="1"/>
  <c r="C20" i="1" s="1"/>
  <c r="G21" i="3" l="1"/>
  <c r="I21" i="3" s="1"/>
  <c r="J21" i="3" s="1"/>
  <c r="C22" i="3" s="1"/>
  <c r="F22" i="3" s="1"/>
  <c r="D20" i="1"/>
  <c r="G20" i="1" s="1"/>
  <c r="I20" i="1" s="1"/>
  <c r="D22" i="3" l="1"/>
  <c r="E22" i="3" s="1"/>
  <c r="E20" i="1"/>
  <c r="J20" i="1" s="1"/>
  <c r="C21" i="1" s="1"/>
  <c r="G22" i="3" l="1"/>
  <c r="I22" i="3" s="1"/>
  <c r="J22" i="3" s="1"/>
  <c r="C23" i="3" s="1"/>
  <c r="D23" i="3" s="1"/>
  <c r="E23" i="3" s="1"/>
  <c r="D21" i="1"/>
  <c r="G21" i="1" s="1"/>
  <c r="I21" i="1" s="1"/>
  <c r="F23" i="3" l="1"/>
  <c r="G23" i="3" s="1"/>
  <c r="I23" i="3" s="1"/>
  <c r="J23" i="3" s="1"/>
  <c r="C24" i="3" s="1"/>
  <c r="E21" i="1"/>
  <c r="J21" i="1" s="1"/>
  <c r="C22" i="1" s="1"/>
  <c r="D24" i="3" l="1"/>
  <c r="E24" i="3" s="1"/>
  <c r="F24" i="3"/>
  <c r="D22" i="1"/>
  <c r="G22" i="1" s="1"/>
  <c r="I22" i="1" s="1"/>
  <c r="G24" i="3" l="1"/>
  <c r="I24" i="3" s="1"/>
  <c r="J24" i="3" s="1"/>
  <c r="C25" i="3" s="1"/>
  <c r="E22" i="1"/>
  <c r="J22" i="1" s="1"/>
  <c r="C23" i="1" s="1"/>
  <c r="D23" i="1" s="1"/>
  <c r="G23" i="1" s="1"/>
  <c r="I23" i="1" s="1"/>
  <c r="F25" i="3" l="1"/>
  <c r="D25" i="3"/>
  <c r="E25" i="3" s="1"/>
  <c r="E23" i="1"/>
  <c r="J23" i="1" s="1"/>
  <c r="C24" i="1" s="1"/>
  <c r="G25" i="3" l="1"/>
  <c r="I25" i="3" s="1"/>
  <c r="J25" i="3" s="1"/>
  <c r="C26" i="3" s="1"/>
  <c r="D24" i="1"/>
  <c r="G24" i="1" s="1"/>
  <c r="I24" i="1" s="1"/>
  <c r="D26" i="3" l="1"/>
  <c r="E26" i="3" s="1"/>
  <c r="F26" i="3"/>
  <c r="E24" i="1"/>
  <c r="J24" i="1" s="1"/>
  <c r="C25" i="1" s="1"/>
  <c r="G26" i="3" l="1"/>
  <c r="I26" i="3" s="1"/>
  <c r="J26" i="3" s="1"/>
  <c r="C27" i="3" s="1"/>
  <c r="D25" i="1"/>
  <c r="G25" i="1" s="1"/>
  <c r="I25" i="1" s="1"/>
  <c r="D27" i="3" l="1"/>
  <c r="E27" i="3" s="1"/>
  <c r="F27" i="3"/>
  <c r="E25" i="1"/>
  <c r="J25" i="1" s="1"/>
  <c r="C26" i="1" s="1"/>
  <c r="G27" i="3" l="1"/>
  <c r="I27" i="3" s="1"/>
  <c r="J27" i="3" s="1"/>
  <c r="C28" i="3" s="1"/>
  <c r="D26" i="1"/>
  <c r="G26" i="1" s="1"/>
  <c r="I26" i="1" s="1"/>
  <c r="F28" i="3" l="1"/>
  <c r="D28" i="3"/>
  <c r="E28" i="3" s="1"/>
  <c r="E26" i="1"/>
  <c r="J26" i="1" s="1"/>
  <c r="C27" i="1" s="1"/>
  <c r="D27" i="1" s="1"/>
  <c r="G27" i="1" s="1"/>
  <c r="I27" i="1" s="1"/>
  <c r="G28" i="3" l="1"/>
  <c r="I28" i="3" s="1"/>
  <c r="J28" i="3" s="1"/>
  <c r="C29" i="3" s="1"/>
  <c r="E27" i="1"/>
  <c r="J27" i="1" s="1"/>
  <c r="C28" i="1" s="1"/>
  <c r="D28" i="1" s="1"/>
  <c r="G28" i="1" s="1"/>
  <c r="I28" i="1" s="1"/>
  <c r="F29" i="3" l="1"/>
  <c r="D29" i="3"/>
  <c r="E29" i="3" s="1"/>
  <c r="E28" i="1"/>
  <c r="J28" i="1" s="1"/>
  <c r="C29" i="1" s="1"/>
  <c r="D29" i="1" s="1"/>
  <c r="G29" i="1" s="1"/>
  <c r="I29" i="1" s="1"/>
  <c r="G29" i="3" l="1"/>
  <c r="I29" i="3" s="1"/>
  <c r="J29" i="3" s="1"/>
  <c r="C30" i="3" s="1"/>
  <c r="E29" i="1"/>
  <c r="J29" i="1" s="1"/>
  <c r="C30" i="1" s="1"/>
  <c r="D30" i="3" l="1"/>
  <c r="E30" i="3" s="1"/>
  <c r="F30" i="3"/>
  <c r="D30" i="1"/>
  <c r="G30" i="1" s="1"/>
  <c r="I30" i="1" s="1"/>
  <c r="G30" i="3" l="1"/>
  <c r="I30" i="3" s="1"/>
  <c r="J30" i="3" s="1"/>
  <c r="C31" i="3" s="1"/>
  <c r="D31" i="3" s="1"/>
  <c r="E31" i="3" s="1"/>
  <c r="E30" i="1"/>
  <c r="J30" i="1" s="1"/>
  <c r="C31" i="1" s="1"/>
  <c r="F31" i="3" l="1"/>
  <c r="G31" i="3" s="1"/>
  <c r="I31" i="3" s="1"/>
  <c r="J31" i="3" s="1"/>
  <c r="C32" i="3" s="1"/>
  <c r="D31" i="1"/>
  <c r="G31" i="1" s="1"/>
  <c r="I31" i="1" s="1"/>
  <c r="F32" i="3" l="1"/>
  <c r="D32" i="3"/>
  <c r="E31" i="1"/>
  <c r="J31" i="1" s="1"/>
  <c r="C32" i="1" s="1"/>
  <c r="G32" i="3" l="1"/>
  <c r="I32" i="3" s="1"/>
  <c r="E32" i="3"/>
  <c r="D32" i="1"/>
  <c r="G32" i="1" s="1"/>
  <c r="I32" i="1" s="1"/>
  <c r="J32" i="3" l="1"/>
  <c r="C33" i="3" s="1"/>
  <c r="F33" i="3" s="1"/>
  <c r="E32" i="1"/>
  <c r="J32" i="1" s="1"/>
  <c r="C33" i="1" s="1"/>
  <c r="D33" i="3" l="1"/>
  <c r="E33" i="3" s="1"/>
  <c r="D33" i="1"/>
  <c r="G33" i="1" s="1"/>
  <c r="I33" i="1" s="1"/>
  <c r="G33" i="3" l="1"/>
  <c r="I33" i="3" s="1"/>
  <c r="J33" i="3" s="1"/>
  <c r="C34" i="3" s="1"/>
  <c r="D34" i="3" s="1"/>
  <c r="E34" i="3" s="1"/>
  <c r="E33" i="1"/>
  <c r="J33" i="1" s="1"/>
  <c r="C34" i="1" s="1"/>
  <c r="D34" i="1" s="1"/>
  <c r="G34" i="1" s="1"/>
  <c r="I34" i="1" s="1"/>
  <c r="F34" i="3" l="1"/>
  <c r="G34" i="3" s="1"/>
  <c r="I34" i="3" s="1"/>
  <c r="J34" i="3" s="1"/>
  <c r="C35" i="3" s="1"/>
  <c r="E34" i="1"/>
  <c r="J34" i="1" s="1"/>
  <c r="C35" i="1" s="1"/>
  <c r="D35" i="3" l="1"/>
  <c r="E35" i="3" s="1"/>
  <c r="F35" i="3"/>
  <c r="D35" i="1"/>
  <c r="G35" i="1" s="1"/>
  <c r="I35" i="1" s="1"/>
  <c r="G35" i="3" l="1"/>
  <c r="I35" i="3" s="1"/>
  <c r="J35" i="3" s="1"/>
  <c r="C36" i="3" s="1"/>
  <c r="E35" i="1"/>
  <c r="J35" i="1" s="1"/>
  <c r="C36" i="1" s="1"/>
  <c r="F36" i="3" l="1"/>
  <c r="D36" i="3"/>
  <c r="D36" i="1"/>
  <c r="G36" i="1" s="1"/>
  <c r="I36" i="1" s="1"/>
  <c r="G36" i="3" l="1"/>
  <c r="I36" i="3" s="1"/>
  <c r="E36" i="3"/>
  <c r="E36" i="1"/>
  <c r="J36" i="1" s="1"/>
  <c r="C37" i="1" s="1"/>
  <c r="J36" i="3" l="1"/>
  <c r="C37" i="3" s="1"/>
  <c r="F37" i="3" s="1"/>
  <c r="D37" i="1"/>
  <c r="G37" i="1" s="1"/>
  <c r="I37" i="1" s="1"/>
  <c r="D37" i="3" l="1"/>
  <c r="E37" i="3" s="1"/>
  <c r="E37" i="1"/>
  <c r="J37" i="1" s="1"/>
  <c r="C38" i="1" s="1"/>
  <c r="G37" i="3" l="1"/>
  <c r="I37" i="3" s="1"/>
  <c r="J37" i="3" s="1"/>
  <c r="C38" i="3" s="1"/>
  <c r="D38" i="3" s="1"/>
  <c r="D38" i="1"/>
  <c r="G38" i="1" s="1"/>
  <c r="I38" i="1" s="1"/>
  <c r="F38" i="3" l="1"/>
  <c r="G38" i="3" s="1"/>
  <c r="I38" i="3" s="1"/>
  <c r="E38" i="3"/>
  <c r="E38" i="1"/>
  <c r="J38" i="1" s="1"/>
  <c r="C39" i="1" s="1"/>
  <c r="D39" i="1" s="1"/>
  <c r="G39" i="1" s="1"/>
  <c r="I39" i="1" s="1"/>
  <c r="J38" i="3" l="1"/>
  <c r="C39" i="3" s="1"/>
  <c r="F39" i="3" s="1"/>
  <c r="E39" i="1"/>
  <c r="J39" i="1" s="1"/>
  <c r="C40" i="1" s="1"/>
  <c r="D39" i="3" l="1"/>
  <c r="E39" i="3" s="1"/>
  <c r="D40" i="1"/>
  <c r="G40" i="1" s="1"/>
  <c r="I40" i="1" s="1"/>
  <c r="G39" i="3" l="1"/>
  <c r="I39" i="3" s="1"/>
  <c r="J39" i="3" s="1"/>
  <c r="C40" i="3" s="1"/>
  <c r="F40" i="3" s="1"/>
  <c r="E40" i="1"/>
  <c r="J40" i="1" s="1"/>
  <c r="C41" i="1" s="1"/>
  <c r="D40" i="3" l="1"/>
  <c r="G40" i="3" s="1"/>
  <c r="I40" i="3" s="1"/>
  <c r="D41" i="1"/>
  <c r="G41" i="1" s="1"/>
  <c r="I41" i="1" s="1"/>
  <c r="E40" i="3" l="1"/>
  <c r="J40" i="3" s="1"/>
  <c r="C41" i="3" s="1"/>
  <c r="D41" i="3" s="1"/>
  <c r="E41" i="3" s="1"/>
  <c r="E41" i="1"/>
  <c r="J41" i="1" s="1"/>
  <c r="C42" i="1" s="1"/>
  <c r="F41" i="3" l="1"/>
  <c r="G41" i="3" s="1"/>
  <c r="I41" i="3" s="1"/>
  <c r="J41" i="3" s="1"/>
  <c r="C42" i="3" s="1"/>
  <c r="D42" i="3" s="1"/>
  <c r="E42" i="3" s="1"/>
  <c r="D42" i="1"/>
  <c r="G42" i="1" s="1"/>
  <c r="I42" i="1" s="1"/>
  <c r="F42" i="3" l="1"/>
  <c r="G42" i="3" s="1"/>
  <c r="I42" i="3" s="1"/>
  <c r="J42" i="3" s="1"/>
  <c r="C43" i="3" s="1"/>
  <c r="F43" i="3" s="1"/>
  <c r="E42" i="1"/>
  <c r="J42" i="1" s="1"/>
  <c r="C43" i="1" s="1"/>
  <c r="D43" i="1" s="1"/>
  <c r="G43" i="1" s="1"/>
  <c r="I43" i="1" s="1"/>
  <c r="D43" i="3" l="1"/>
  <c r="G43" i="3" s="1"/>
  <c r="I43" i="3" s="1"/>
  <c r="E43" i="1"/>
  <c r="J43" i="1" s="1"/>
  <c r="C44" i="1" s="1"/>
  <c r="E43" i="3" l="1"/>
  <c r="J43" i="3" s="1"/>
  <c r="C44" i="3" s="1"/>
  <c r="F44" i="3" s="1"/>
  <c r="D44" i="1"/>
  <c r="G44" i="1" s="1"/>
  <c r="I44" i="1" s="1"/>
  <c r="D44" i="3" l="1"/>
  <c r="E44" i="3" s="1"/>
  <c r="E44" i="1"/>
  <c r="J44" i="1" s="1"/>
  <c r="C45" i="1" s="1"/>
  <c r="D45" i="1" s="1"/>
  <c r="G45" i="1" s="1"/>
  <c r="I45" i="1" s="1"/>
  <c r="G44" i="3" l="1"/>
  <c r="I44" i="3" s="1"/>
  <c r="J44" i="3" s="1"/>
  <c r="C45" i="3" s="1"/>
  <c r="D45" i="3" s="1"/>
  <c r="E45" i="3" s="1"/>
  <c r="E45" i="1"/>
  <c r="J45" i="1" s="1"/>
  <c r="C46" i="1" s="1"/>
  <c r="F45" i="3" l="1"/>
  <c r="G45" i="3" s="1"/>
  <c r="I45" i="3" s="1"/>
  <c r="J45" i="3" s="1"/>
  <c r="C46" i="3" s="1"/>
  <c r="D46" i="3" s="1"/>
  <c r="E46" i="3" s="1"/>
  <c r="D46" i="1"/>
  <c r="G46" i="1" s="1"/>
  <c r="I46" i="1" s="1"/>
  <c r="F46" i="3" l="1"/>
  <c r="G46" i="3" s="1"/>
  <c r="I46" i="3" s="1"/>
  <c r="J46" i="3" s="1"/>
  <c r="C47" i="3" s="1"/>
  <c r="E46" i="1"/>
  <c r="J46" i="1" s="1"/>
  <c r="C47" i="1" s="1"/>
  <c r="D47" i="1" s="1"/>
  <c r="G47" i="1" s="1"/>
  <c r="I47" i="1" s="1"/>
  <c r="F47" i="3" l="1"/>
  <c r="D47" i="3"/>
  <c r="E47" i="3" s="1"/>
  <c r="E47" i="1"/>
  <c r="J47" i="1" s="1"/>
  <c r="C48" i="1" s="1"/>
  <c r="G47" i="3" l="1"/>
  <c r="I47" i="3" s="1"/>
  <c r="J47" i="3" s="1"/>
  <c r="C48" i="3" s="1"/>
  <c r="D48" i="1"/>
  <c r="G48" i="1" s="1"/>
  <c r="I48" i="1" s="1"/>
  <c r="F48" i="3" l="1"/>
  <c r="D48" i="3"/>
  <c r="E48" i="3" s="1"/>
  <c r="E48" i="1"/>
  <c r="J48" i="1" s="1"/>
  <c r="C49" i="1" s="1"/>
  <c r="G48" i="3" l="1"/>
  <c r="I48" i="3" s="1"/>
  <c r="J48" i="3" s="1"/>
  <c r="C49" i="3" s="1"/>
  <c r="F49" i="3" s="1"/>
  <c r="D49" i="1"/>
  <c r="G49" i="1" s="1"/>
  <c r="I49" i="1" s="1"/>
  <c r="D49" i="3" l="1"/>
  <c r="E49" i="3" s="1"/>
  <c r="E49" i="1"/>
  <c r="J49" i="1" s="1"/>
  <c r="C50" i="1" s="1"/>
  <c r="G49" i="3" l="1"/>
  <c r="I49" i="3" s="1"/>
  <c r="J49" i="3" s="1"/>
  <c r="C50" i="3" s="1"/>
  <c r="D50" i="1"/>
  <c r="G50" i="1" s="1"/>
  <c r="I50" i="1" s="1"/>
  <c r="D50" i="3" l="1"/>
  <c r="E50" i="3" s="1"/>
  <c r="F50" i="3"/>
  <c r="E50" i="1"/>
  <c r="J50" i="1" s="1"/>
  <c r="C51" i="1" s="1"/>
  <c r="G50" i="3" l="1"/>
  <c r="I50" i="3" s="1"/>
  <c r="J50" i="3" s="1"/>
  <c r="C51" i="3" s="1"/>
  <c r="D51" i="3" s="1"/>
  <c r="D51" i="1"/>
  <c r="G51" i="1" s="1"/>
  <c r="I51" i="1" s="1"/>
  <c r="F51" i="3" l="1"/>
  <c r="G51" i="3" s="1"/>
  <c r="I51" i="3" s="1"/>
  <c r="E51" i="3"/>
  <c r="E51" i="1"/>
  <c r="J51" i="1" s="1"/>
  <c r="C52" i="1" s="1"/>
  <c r="D52" i="1" s="1"/>
  <c r="G52" i="1" s="1"/>
  <c r="I52" i="1" s="1"/>
  <c r="J51" i="3" l="1"/>
  <c r="C52" i="3" s="1"/>
  <c r="D52" i="3" s="1"/>
  <c r="E52" i="3" s="1"/>
  <c r="E52" i="1"/>
  <c r="J52" i="1" s="1"/>
  <c r="C53" i="1" s="1"/>
  <c r="F52" i="3" l="1"/>
  <c r="G52" i="3" s="1"/>
  <c r="I52" i="3" s="1"/>
  <c r="J52" i="3" s="1"/>
  <c r="C53" i="3" s="1"/>
  <c r="D53" i="3" s="1"/>
  <c r="D53" i="1"/>
  <c r="G53" i="1" s="1"/>
  <c r="I53" i="1" s="1"/>
  <c r="F53" i="3" l="1"/>
  <c r="G53" i="3" s="1"/>
  <c r="I53" i="3" s="1"/>
  <c r="E53" i="3"/>
  <c r="E53" i="1"/>
  <c r="J53" i="1" s="1"/>
  <c r="C54" i="1" s="1"/>
  <c r="J53" i="3" l="1"/>
  <c r="C54" i="3" s="1"/>
  <c r="F54" i="3" s="1"/>
  <c r="D54" i="1"/>
  <c r="G54" i="1" s="1"/>
  <c r="I54" i="1" s="1"/>
  <c r="D54" i="3" l="1"/>
  <c r="E54" i="3" s="1"/>
  <c r="E54" i="1"/>
  <c r="J54" i="1" s="1"/>
  <c r="C55" i="1" s="1"/>
  <c r="G54" i="3" l="1"/>
  <c r="I54" i="3" s="1"/>
  <c r="J54" i="3" s="1"/>
  <c r="C55" i="3" s="1"/>
  <c r="F55" i="3" s="1"/>
  <c r="D55" i="1"/>
  <c r="G55" i="1" s="1"/>
  <c r="I55" i="1" s="1"/>
  <c r="D55" i="3" l="1"/>
  <c r="E55" i="3" s="1"/>
  <c r="E55" i="1"/>
  <c r="J55" i="1" s="1"/>
  <c r="C56" i="1" s="1"/>
  <c r="G55" i="3" l="1"/>
  <c r="I55" i="3" s="1"/>
  <c r="J55" i="3" s="1"/>
  <c r="C56" i="3" s="1"/>
  <c r="F56" i="3" s="1"/>
  <c r="D56" i="1"/>
  <c r="G56" i="1" s="1"/>
  <c r="I56" i="1" s="1"/>
  <c r="D56" i="3" l="1"/>
  <c r="E56" i="3" s="1"/>
  <c r="E56" i="1"/>
  <c r="J56" i="1" s="1"/>
  <c r="C57" i="1" s="1"/>
  <c r="G56" i="3" l="1"/>
  <c r="I56" i="3" s="1"/>
  <c r="J56" i="3" s="1"/>
  <c r="C57" i="3" s="1"/>
  <c r="F57" i="3" s="1"/>
  <c r="D57" i="1"/>
  <c r="G57" i="1" s="1"/>
  <c r="I57" i="1" s="1"/>
  <c r="D57" i="3" l="1"/>
  <c r="E57" i="3" s="1"/>
  <c r="E57" i="1"/>
  <c r="J57" i="1" s="1"/>
  <c r="C58" i="1" s="1"/>
  <c r="D58" i="1" s="1"/>
  <c r="G58" i="1" s="1"/>
  <c r="I58" i="1" s="1"/>
  <c r="G57" i="3" l="1"/>
  <c r="I57" i="3" s="1"/>
  <c r="J57" i="3" s="1"/>
  <c r="C58" i="3" s="1"/>
  <c r="E58" i="1"/>
  <c r="J58" i="1" s="1"/>
  <c r="C59" i="1" s="1"/>
  <c r="F58" i="3" l="1"/>
  <c r="D58" i="3"/>
  <c r="E58" i="3" s="1"/>
  <c r="D59" i="1"/>
  <c r="G59" i="1" s="1"/>
  <c r="I59" i="1" s="1"/>
  <c r="G58" i="3" l="1"/>
  <c r="I58" i="3" s="1"/>
  <c r="J58" i="3" s="1"/>
  <c r="C59" i="3" s="1"/>
  <c r="D59" i="3" s="1"/>
  <c r="E59" i="1"/>
  <c r="J59" i="1" s="1"/>
  <c r="C60" i="1" s="1"/>
  <c r="D60" i="1" s="1"/>
  <c r="G60" i="1" s="1"/>
  <c r="I60" i="1" s="1"/>
  <c r="F59" i="3" l="1"/>
  <c r="G59" i="3" s="1"/>
  <c r="I59" i="3" s="1"/>
  <c r="E59" i="3"/>
  <c r="E60" i="1"/>
  <c r="J60" i="1" s="1"/>
  <c r="C61" i="1" s="1"/>
  <c r="J59" i="3" l="1"/>
  <c r="C60" i="3" s="1"/>
  <c r="F60" i="3" s="1"/>
  <c r="D61" i="1"/>
  <c r="G61" i="1" s="1"/>
  <c r="I61" i="1" s="1"/>
  <c r="D60" i="3" l="1"/>
  <c r="E60" i="3" s="1"/>
  <c r="E61" i="1"/>
  <c r="J61" i="1" s="1"/>
  <c r="C62" i="1" s="1"/>
  <c r="G60" i="3" l="1"/>
  <c r="I60" i="3" s="1"/>
  <c r="J60" i="3" s="1"/>
  <c r="C61" i="3" s="1"/>
  <c r="D62" i="1"/>
  <c r="G62" i="1" s="1"/>
  <c r="I62" i="1" s="1"/>
  <c r="D61" i="3" l="1"/>
  <c r="E61" i="3" s="1"/>
  <c r="F61" i="3"/>
  <c r="E62" i="1"/>
  <c r="J62" i="1" s="1"/>
  <c r="C63" i="1" s="1"/>
  <c r="G61" i="3" l="1"/>
  <c r="I61" i="3" s="1"/>
  <c r="J61" i="3" s="1"/>
  <c r="C62" i="3" s="1"/>
  <c r="D62" i="3" s="1"/>
  <c r="D63" i="1"/>
  <c r="G63" i="1" s="1"/>
  <c r="I63" i="1" s="1"/>
  <c r="E62" i="3" l="1"/>
  <c r="F62" i="3"/>
  <c r="G62" i="3" s="1"/>
  <c r="I62" i="3" s="1"/>
  <c r="E63" i="1"/>
  <c r="J63" i="1" s="1"/>
  <c r="C64" i="1" s="1"/>
  <c r="J62" i="3" l="1"/>
  <c r="C63" i="3" s="1"/>
  <c r="F63" i="3" s="1"/>
  <c r="D64" i="1"/>
  <c r="G64" i="1" s="1"/>
  <c r="I64" i="1" s="1"/>
  <c r="D63" i="3" l="1"/>
  <c r="E63" i="3" s="1"/>
  <c r="E64" i="1"/>
  <c r="J64" i="1" s="1"/>
  <c r="C65" i="1" s="1"/>
  <c r="G63" i="3" l="1"/>
  <c r="I63" i="3" s="1"/>
  <c r="J63" i="3" s="1"/>
  <c r="C64" i="3" s="1"/>
  <c r="D64" i="3" s="1"/>
  <c r="E64" i="3" s="1"/>
  <c r="D65" i="1"/>
  <c r="G65" i="1" s="1"/>
  <c r="I65" i="1" s="1"/>
  <c r="F64" i="3" l="1"/>
  <c r="G64" i="3" s="1"/>
  <c r="I64" i="3" s="1"/>
  <c r="J64" i="3" s="1"/>
  <c r="C65" i="3" s="1"/>
  <c r="F65" i="3" s="1"/>
  <c r="E65" i="1"/>
  <c r="J65" i="1" s="1"/>
  <c r="C66" i="1" s="1"/>
  <c r="D66" i="1" s="1"/>
  <c r="G66" i="1" s="1"/>
  <c r="I66" i="1" s="1"/>
  <c r="D65" i="3" l="1"/>
  <c r="E65" i="3" s="1"/>
  <c r="E66" i="1"/>
  <c r="J66" i="1" s="1"/>
  <c r="C67" i="1" s="1"/>
  <c r="D67" i="1" s="1"/>
  <c r="G67" i="1" s="1"/>
  <c r="I67" i="1" s="1"/>
  <c r="G65" i="3" l="1"/>
  <c r="I65" i="3" s="1"/>
  <c r="J65" i="3" s="1"/>
  <c r="C66" i="3" s="1"/>
  <c r="F66" i="3" s="1"/>
  <c r="E67" i="1"/>
  <c r="J67" i="1" s="1"/>
  <c r="C68" i="1" s="1"/>
  <c r="D66" i="3" l="1"/>
  <c r="E66" i="3" s="1"/>
  <c r="G66" i="3"/>
  <c r="I66" i="3" s="1"/>
  <c r="J66" i="3" s="1"/>
  <c r="C67" i="3" s="1"/>
  <c r="D68" i="1"/>
  <c r="G68" i="1" s="1"/>
  <c r="I68" i="1" s="1"/>
  <c r="D67" i="3" l="1"/>
  <c r="E67" i="3" s="1"/>
  <c r="F67" i="3"/>
  <c r="E68" i="1"/>
  <c r="J68" i="1" s="1"/>
  <c r="C69" i="1" s="1"/>
  <c r="D69" i="1" s="1"/>
  <c r="G69" i="1" s="1"/>
  <c r="I69" i="1" s="1"/>
  <c r="G67" i="3" l="1"/>
  <c r="I67" i="3" s="1"/>
  <c r="J67" i="3" s="1"/>
  <c r="C68" i="3" s="1"/>
  <c r="E69" i="1"/>
  <c r="J69" i="1" s="1"/>
  <c r="C70" i="1" s="1"/>
  <c r="D70" i="1" s="1"/>
  <c r="G70" i="1" s="1"/>
  <c r="I70" i="1" s="1"/>
  <c r="F68" i="3" l="1"/>
  <c r="D68" i="3"/>
  <c r="E68" i="3" s="1"/>
  <c r="E70" i="1"/>
  <c r="J70" i="1" s="1"/>
  <c r="C71" i="1" s="1"/>
  <c r="D71" i="1" s="1"/>
  <c r="G71" i="1" s="1"/>
  <c r="I71" i="1" s="1"/>
  <c r="G68" i="3" l="1"/>
  <c r="I68" i="3" s="1"/>
  <c r="J68" i="3" s="1"/>
  <c r="C69" i="3" s="1"/>
  <c r="E71" i="1"/>
  <c r="J71" i="1" s="1"/>
  <c r="C72" i="1" s="1"/>
  <c r="D69" i="3" l="1"/>
  <c r="E69" i="3" s="1"/>
  <c r="F69" i="3"/>
  <c r="G69" i="3" s="1"/>
  <c r="I69" i="3" s="1"/>
  <c r="D72" i="1"/>
  <c r="G72" i="1" s="1"/>
  <c r="I72" i="1" s="1"/>
  <c r="J69" i="3" l="1"/>
  <c r="C70" i="3" s="1"/>
  <c r="E72" i="1"/>
  <c r="J72" i="1" s="1"/>
  <c r="C73" i="1" s="1"/>
  <c r="F70" i="3" l="1"/>
  <c r="D70" i="3"/>
  <c r="E70" i="3" s="1"/>
  <c r="D73" i="1"/>
  <c r="G73" i="1" s="1"/>
  <c r="I73" i="1" s="1"/>
  <c r="G70" i="3" l="1"/>
  <c r="I70" i="3" s="1"/>
  <c r="J70" i="3" s="1"/>
  <c r="C71" i="3" s="1"/>
  <c r="E73" i="1"/>
  <c r="J73" i="1" s="1"/>
  <c r="C74" i="1" s="1"/>
  <c r="D71" i="3" l="1"/>
  <c r="E71" i="3" s="1"/>
  <c r="F71" i="3"/>
  <c r="D74" i="1"/>
  <c r="G74" i="1" s="1"/>
  <c r="I74" i="1" s="1"/>
  <c r="G71" i="3" l="1"/>
  <c r="I71" i="3" s="1"/>
  <c r="J71" i="3" s="1"/>
  <c r="C72" i="3" s="1"/>
  <c r="E74" i="1"/>
  <c r="J74" i="1" s="1"/>
  <c r="C75" i="1" s="1"/>
  <c r="D72" i="3" l="1"/>
  <c r="E72" i="3" s="1"/>
  <c r="F72" i="3"/>
  <c r="G72" i="3" s="1"/>
  <c r="I72" i="3" s="1"/>
  <c r="D75" i="1"/>
  <c r="G75" i="1" s="1"/>
  <c r="I75" i="1" s="1"/>
  <c r="J72" i="3" l="1"/>
  <c r="C73" i="3" s="1"/>
  <c r="E75" i="1"/>
  <c r="J75" i="1" s="1"/>
  <c r="C76" i="1" s="1"/>
  <c r="D73" i="3" l="1"/>
  <c r="E73" i="3" s="1"/>
  <c r="F73" i="3"/>
  <c r="G73" i="3" s="1"/>
  <c r="I73" i="3" s="1"/>
  <c r="D76" i="1"/>
  <c r="G76" i="1" s="1"/>
  <c r="I76" i="1" s="1"/>
  <c r="J73" i="3" l="1"/>
  <c r="C74" i="3" s="1"/>
  <c r="E76" i="1"/>
  <c r="J76" i="1" s="1"/>
  <c r="C77" i="1" s="1"/>
  <c r="D77" i="1" s="1"/>
  <c r="G77" i="1" s="1"/>
  <c r="I77" i="1" s="1"/>
  <c r="F74" i="3" l="1"/>
  <c r="D74" i="3"/>
  <c r="E74" i="3" s="1"/>
  <c r="E77" i="1"/>
  <c r="J77" i="1" s="1"/>
  <c r="C78" i="1" s="1"/>
  <c r="G74" i="3" l="1"/>
  <c r="I74" i="3" s="1"/>
  <c r="J74" i="3" s="1"/>
  <c r="C75" i="3" s="1"/>
  <c r="D78" i="1"/>
  <c r="G78" i="1" s="1"/>
  <c r="I78" i="1" s="1"/>
  <c r="F75" i="3" l="1"/>
  <c r="D75" i="3"/>
  <c r="G75" i="3" s="1"/>
  <c r="I75" i="3" s="1"/>
  <c r="E78" i="1"/>
  <c r="J78" i="1" s="1"/>
  <c r="C79" i="1" s="1"/>
  <c r="E75" i="3" l="1"/>
  <c r="J75" i="3" s="1"/>
  <c r="C76" i="3" s="1"/>
  <c r="D79" i="1"/>
  <c r="G79" i="1" s="1"/>
  <c r="I79" i="1" s="1"/>
  <c r="D76" i="3" l="1"/>
  <c r="E76" i="3" s="1"/>
  <c r="F76" i="3"/>
  <c r="G76" i="3" s="1"/>
  <c r="I76" i="3" s="1"/>
  <c r="E79" i="1"/>
  <c r="J79" i="1" s="1"/>
  <c r="C80" i="1" s="1"/>
  <c r="J76" i="3" l="1"/>
  <c r="C77" i="3" s="1"/>
  <c r="D80" i="1"/>
  <c r="G80" i="1" s="1"/>
  <c r="I80" i="1" s="1"/>
  <c r="D77" i="3" l="1"/>
  <c r="E77" i="3" s="1"/>
  <c r="F77" i="3"/>
  <c r="G77" i="3" s="1"/>
  <c r="I77" i="3" s="1"/>
  <c r="E80" i="1"/>
  <c r="J80" i="1" s="1"/>
  <c r="C81" i="1" s="1"/>
  <c r="D81" i="1" s="1"/>
  <c r="G81" i="1" s="1"/>
  <c r="I81" i="1" s="1"/>
  <c r="J77" i="3" l="1"/>
  <c r="C78" i="3" s="1"/>
  <c r="E81" i="1"/>
  <c r="J81" i="1" s="1"/>
  <c r="C82" i="1" s="1"/>
  <c r="F78" i="3" l="1"/>
  <c r="D78" i="3"/>
  <c r="E78" i="3" s="1"/>
  <c r="D82" i="1"/>
  <c r="G82" i="1" s="1"/>
  <c r="I82" i="1" s="1"/>
  <c r="G78" i="3" l="1"/>
  <c r="I78" i="3" s="1"/>
  <c r="J78" i="3" s="1"/>
  <c r="C79" i="3" s="1"/>
  <c r="E82" i="1"/>
  <c r="J82" i="1" s="1"/>
  <c r="C83" i="1" s="1"/>
  <c r="F79" i="3" l="1"/>
  <c r="D79" i="3"/>
  <c r="E79" i="3" s="1"/>
  <c r="D83" i="1"/>
  <c r="G83" i="1" s="1"/>
  <c r="I83" i="1" s="1"/>
  <c r="G79" i="3" l="1"/>
  <c r="I79" i="3" s="1"/>
  <c r="J79" i="3" s="1"/>
  <c r="C80" i="3" s="1"/>
  <c r="E83" i="1"/>
  <c r="J83" i="1" s="1"/>
  <c r="C84" i="1" s="1"/>
  <c r="D84" i="1" s="1"/>
  <c r="G84" i="1" s="1"/>
  <c r="I84" i="1" s="1"/>
  <c r="D80" i="3" l="1"/>
  <c r="F80" i="3"/>
  <c r="E84" i="1"/>
  <c r="J84" i="1" s="1"/>
  <c r="C85" i="1" s="1"/>
  <c r="G80" i="3" l="1"/>
  <c r="I80" i="3" s="1"/>
  <c r="E80" i="3"/>
  <c r="D85" i="1"/>
  <c r="G85" i="1" s="1"/>
  <c r="I85" i="1" s="1"/>
  <c r="J80" i="3" l="1"/>
  <c r="C81" i="3" s="1"/>
  <c r="F81" i="3" s="1"/>
  <c r="E85" i="1"/>
  <c r="J85" i="1" s="1"/>
  <c r="C86" i="1" s="1"/>
  <c r="D81" i="3" l="1"/>
  <c r="E81" i="3" s="1"/>
  <c r="D86" i="1"/>
  <c r="G86" i="1" s="1"/>
  <c r="I86" i="1" s="1"/>
  <c r="G81" i="3" l="1"/>
  <c r="I81" i="3" s="1"/>
  <c r="J81" i="3" s="1"/>
  <c r="C82" i="3" s="1"/>
  <c r="E86" i="1"/>
  <c r="J86" i="1" s="1"/>
  <c r="C87" i="1" s="1"/>
  <c r="F82" i="3" l="1"/>
  <c r="D82" i="3"/>
  <c r="G82" i="3" s="1"/>
  <c r="I82" i="3" s="1"/>
  <c r="D87" i="1"/>
  <c r="G87" i="1" s="1"/>
  <c r="I87" i="1" s="1"/>
  <c r="E82" i="3" l="1"/>
  <c r="J82" i="3" s="1"/>
  <c r="C83" i="3" s="1"/>
  <c r="F83" i="3" s="1"/>
  <c r="E87" i="1"/>
  <c r="J87" i="1" s="1"/>
  <c r="C88" i="1" s="1"/>
  <c r="D83" i="3" l="1"/>
  <c r="E83" i="3" s="1"/>
  <c r="D88" i="1"/>
  <c r="G88" i="1" s="1"/>
  <c r="I88" i="1" s="1"/>
  <c r="G83" i="3" l="1"/>
  <c r="I83" i="3" s="1"/>
  <c r="J83" i="3" s="1"/>
  <c r="C84" i="3" s="1"/>
  <c r="E88" i="1"/>
  <c r="J88" i="1" s="1"/>
  <c r="C89" i="1" s="1"/>
  <c r="F84" i="3" l="1"/>
  <c r="D84" i="3"/>
  <c r="E84" i="3" s="1"/>
  <c r="D89" i="1"/>
  <c r="G89" i="1" s="1"/>
  <c r="I89" i="1" s="1"/>
  <c r="G84" i="3" l="1"/>
  <c r="I84" i="3" s="1"/>
  <c r="J84" i="3" s="1"/>
  <c r="C85" i="3" s="1"/>
  <c r="E89" i="1"/>
  <c r="J89" i="1" s="1"/>
  <c r="C90" i="1" s="1"/>
  <c r="F85" i="3" l="1"/>
  <c r="D85" i="3"/>
  <c r="E85" i="3" s="1"/>
  <c r="D90" i="1"/>
  <c r="G90" i="1" s="1"/>
  <c r="I90" i="1" s="1"/>
  <c r="G85" i="3" l="1"/>
  <c r="I85" i="3" s="1"/>
  <c r="J85" i="3" s="1"/>
  <c r="C86" i="3" s="1"/>
  <c r="E90" i="1"/>
  <c r="J90" i="1" s="1"/>
  <c r="C91" i="1" s="1"/>
  <c r="F86" i="3" l="1"/>
  <c r="D86" i="3"/>
  <c r="G86" i="3" s="1"/>
  <c r="I86" i="3" s="1"/>
  <c r="D91" i="1"/>
  <c r="G91" i="1" s="1"/>
  <c r="I91" i="1" s="1"/>
  <c r="E86" i="3" l="1"/>
  <c r="J86" i="3" s="1"/>
  <c r="C87" i="3" s="1"/>
  <c r="E91" i="1"/>
  <c r="J91" i="1" s="1"/>
  <c r="C92" i="1" s="1"/>
  <c r="F87" i="3" l="1"/>
  <c r="D87" i="3"/>
  <c r="E87" i="3" s="1"/>
  <c r="D92" i="1"/>
  <c r="G92" i="1" s="1"/>
  <c r="I92" i="1" s="1"/>
  <c r="G87" i="3" l="1"/>
  <c r="I87" i="3" s="1"/>
  <c r="J87" i="3" s="1"/>
  <c r="C88" i="3" s="1"/>
  <c r="E92" i="1"/>
  <c r="J92" i="1" s="1"/>
  <c r="C93" i="1" s="1"/>
  <c r="D88" i="3" l="1"/>
  <c r="E88" i="3" s="1"/>
  <c r="F88" i="3"/>
  <c r="G88" i="3" s="1"/>
  <c r="I88" i="3" s="1"/>
  <c r="D93" i="1"/>
  <c r="G93" i="1" s="1"/>
  <c r="I93" i="1" s="1"/>
  <c r="J88" i="3" l="1"/>
  <c r="C89" i="3" s="1"/>
  <c r="F89" i="3" s="1"/>
  <c r="G89" i="3" s="1"/>
  <c r="I89" i="3" s="1"/>
  <c r="E93" i="1"/>
  <c r="J93" i="1" s="1"/>
  <c r="C94" i="1" s="1"/>
  <c r="D89" i="3" l="1"/>
  <c r="E89" i="3" s="1"/>
  <c r="J89" i="3" s="1"/>
  <c r="C90" i="3" s="1"/>
  <c r="F90" i="3" s="1"/>
  <c r="D94" i="1"/>
  <c r="G94" i="1" s="1"/>
  <c r="I94" i="1" s="1"/>
  <c r="D90" i="3" l="1"/>
  <c r="E90" i="3" s="1"/>
  <c r="G90" i="3"/>
  <c r="I90" i="3" s="1"/>
  <c r="E94" i="1"/>
  <c r="J94" i="1" s="1"/>
  <c r="C95" i="1" s="1"/>
  <c r="J90" i="3" l="1"/>
  <c r="C91" i="3" s="1"/>
  <c r="F91" i="3" s="1"/>
  <c r="G91" i="3" s="1"/>
  <c r="I91" i="3" s="1"/>
  <c r="D95" i="1"/>
  <c r="G95" i="1" s="1"/>
  <c r="I95" i="1" s="1"/>
  <c r="D91" i="3" l="1"/>
  <c r="E91" i="3" s="1"/>
  <c r="J91" i="3" s="1"/>
  <c r="C92" i="3" s="1"/>
  <c r="E95" i="1"/>
  <c r="J95" i="1" s="1"/>
  <c r="C96" i="1" s="1"/>
  <c r="D92" i="3" l="1"/>
  <c r="E92" i="3" s="1"/>
  <c r="F92" i="3"/>
  <c r="D96" i="1"/>
  <c r="G96" i="1" s="1"/>
  <c r="I96" i="1" s="1"/>
  <c r="G92" i="3" l="1"/>
  <c r="I92" i="3" s="1"/>
  <c r="J92" i="3" s="1"/>
  <c r="C93" i="3" s="1"/>
  <c r="E96" i="1"/>
  <c r="J96" i="1" s="1"/>
  <c r="C97" i="1" s="1"/>
  <c r="F93" i="3" l="1"/>
  <c r="G93" i="3" s="1"/>
  <c r="I93" i="3" s="1"/>
  <c r="D93" i="3"/>
  <c r="E93" i="3" s="1"/>
  <c r="D97" i="1"/>
  <c r="G97" i="1" s="1"/>
  <c r="I97" i="1" s="1"/>
  <c r="J93" i="3" l="1"/>
  <c r="C94" i="3" s="1"/>
  <c r="D94" i="3" s="1"/>
  <c r="E94" i="3" s="1"/>
  <c r="E97" i="1"/>
  <c r="J97" i="1" s="1"/>
  <c r="C98" i="1" s="1"/>
  <c r="F94" i="3" l="1"/>
  <c r="G94" i="3" s="1"/>
  <c r="I94" i="3" s="1"/>
  <c r="J94" i="3" s="1"/>
  <c r="C95" i="3" s="1"/>
  <c r="D98" i="1"/>
  <c r="G98" i="1" s="1"/>
  <c r="I98" i="1" s="1"/>
  <c r="F95" i="3" l="1"/>
  <c r="D95" i="3"/>
  <c r="E95" i="3" s="1"/>
  <c r="E98" i="1"/>
  <c r="J98" i="1" s="1"/>
  <c r="C99" i="1" s="1"/>
  <c r="G95" i="3" l="1"/>
  <c r="I95" i="3" s="1"/>
  <c r="J95" i="3" s="1"/>
  <c r="C96" i="3" s="1"/>
  <c r="D99" i="1"/>
  <c r="G99" i="1" s="1"/>
  <c r="I99" i="1" s="1"/>
  <c r="F96" i="3" l="1"/>
  <c r="D96" i="3"/>
  <c r="E96" i="3" s="1"/>
  <c r="E99" i="1"/>
  <c r="J99" i="1" s="1"/>
  <c r="C100" i="1" s="1"/>
  <c r="G96" i="3" l="1"/>
  <c r="I96" i="3" s="1"/>
  <c r="J96" i="3" s="1"/>
  <c r="C97" i="3" s="1"/>
  <c r="D100" i="1"/>
  <c r="G100" i="1" s="1"/>
  <c r="I100" i="1" s="1"/>
  <c r="D97" i="3" l="1"/>
  <c r="E97" i="3" s="1"/>
  <c r="F97" i="3"/>
  <c r="E100" i="1"/>
  <c r="J100" i="1" s="1"/>
  <c r="C101" i="1" s="1"/>
  <c r="G97" i="3" l="1"/>
  <c r="I97" i="3" s="1"/>
  <c r="J97" i="3" s="1"/>
  <c r="C98" i="3" s="1"/>
  <c r="D101" i="1"/>
  <c r="G101" i="1" s="1"/>
  <c r="I101" i="1" s="1"/>
  <c r="F98" i="3" l="1"/>
  <c r="D98" i="3"/>
  <c r="E98" i="3" s="1"/>
  <c r="E101" i="1"/>
  <c r="J101" i="1" s="1"/>
  <c r="C102" i="1" s="1"/>
  <c r="D102" i="1" s="1"/>
  <c r="G102" i="1" s="1"/>
  <c r="I102" i="1" s="1"/>
  <c r="G98" i="3" l="1"/>
  <c r="I98" i="3" s="1"/>
  <c r="J98" i="3" s="1"/>
  <c r="C99" i="3" s="1"/>
  <c r="E102" i="1"/>
  <c r="J102" i="1" s="1"/>
  <c r="C103" i="1" s="1"/>
  <c r="D103" i="1" s="1"/>
  <c r="G103" i="1" s="1"/>
  <c r="I103" i="1" s="1"/>
  <c r="D99" i="3" l="1"/>
  <c r="E99" i="3" s="1"/>
  <c r="F99" i="3"/>
  <c r="E103" i="1"/>
  <c r="J103" i="1" s="1"/>
  <c r="C104" i="1" s="1"/>
  <c r="G99" i="3" l="1"/>
  <c r="I99" i="3" s="1"/>
  <c r="J99" i="3" s="1"/>
  <c r="C100" i="3" s="1"/>
  <c r="D104" i="1"/>
  <c r="G104" i="1" s="1"/>
  <c r="I104" i="1" s="1"/>
  <c r="F100" i="3" l="1"/>
  <c r="D100" i="3"/>
  <c r="E100" i="3" s="1"/>
  <c r="E104" i="1"/>
  <c r="J104" i="1" s="1"/>
  <c r="C105" i="1" s="1"/>
  <c r="G100" i="3" l="1"/>
  <c r="I100" i="3" s="1"/>
  <c r="J100" i="3" s="1"/>
  <c r="C101" i="3" s="1"/>
  <c r="D101" i="3" s="1"/>
  <c r="E101" i="3" s="1"/>
  <c r="D105" i="1"/>
  <c r="G105" i="1" s="1"/>
  <c r="I105" i="1" s="1"/>
  <c r="F101" i="3" l="1"/>
  <c r="G101" i="3" s="1"/>
  <c r="I101" i="3" s="1"/>
  <c r="J101" i="3" s="1"/>
  <c r="C102" i="3" s="1"/>
  <c r="E105" i="1"/>
  <c r="J105" i="1" s="1"/>
  <c r="C106" i="1" s="1"/>
  <c r="F102" i="3" l="1"/>
  <c r="G102" i="3" s="1"/>
  <c r="I102" i="3" s="1"/>
  <c r="D102" i="3"/>
  <c r="E102" i="3" s="1"/>
  <c r="D106" i="1"/>
  <c r="G106" i="1" s="1"/>
  <c r="I106" i="1" s="1"/>
  <c r="J102" i="3" l="1"/>
  <c r="C103" i="3" s="1"/>
  <c r="E106" i="1"/>
  <c r="J106" i="1" s="1"/>
  <c r="C107" i="1" s="1"/>
  <c r="D103" i="3" l="1"/>
  <c r="E103" i="3" s="1"/>
  <c r="F103" i="3"/>
  <c r="D107" i="1"/>
  <c r="G107" i="1" s="1"/>
  <c r="I107" i="1" s="1"/>
  <c r="G103" i="3" l="1"/>
  <c r="I103" i="3" s="1"/>
  <c r="J103" i="3" s="1"/>
  <c r="C104" i="3" s="1"/>
  <c r="E107" i="1"/>
  <c r="J107" i="1" s="1"/>
  <c r="C108" i="1" s="1"/>
  <c r="D104" i="3" l="1"/>
  <c r="E104" i="3" s="1"/>
  <c r="F104" i="3"/>
  <c r="D108" i="1"/>
  <c r="G108" i="1" s="1"/>
  <c r="I108" i="1" s="1"/>
  <c r="G104" i="3" l="1"/>
  <c r="I104" i="3" s="1"/>
  <c r="J104" i="3" s="1"/>
  <c r="C105" i="3" s="1"/>
  <c r="F105" i="3" s="1"/>
  <c r="E108" i="1"/>
  <c r="J108" i="1" s="1"/>
  <c r="C109" i="1" s="1"/>
  <c r="D105" i="3" l="1"/>
  <c r="E105" i="3" s="1"/>
  <c r="G105" i="3"/>
  <c r="I105" i="3" s="1"/>
  <c r="D109" i="1"/>
  <c r="G109" i="1" s="1"/>
  <c r="I109" i="1" s="1"/>
  <c r="J105" i="3" l="1"/>
  <c r="C106" i="3" s="1"/>
  <c r="D106" i="3" s="1"/>
  <c r="E106" i="3" s="1"/>
  <c r="E109" i="1"/>
  <c r="J109" i="1" s="1"/>
  <c r="C110" i="1" s="1"/>
  <c r="D110" i="1" s="1"/>
  <c r="G110" i="1" s="1"/>
  <c r="I110" i="1" s="1"/>
  <c r="F106" i="3" l="1"/>
  <c r="G106" i="3" s="1"/>
  <c r="I106" i="3" s="1"/>
  <c r="J106" i="3" s="1"/>
  <c r="C107" i="3" s="1"/>
  <c r="F107" i="3" s="1"/>
  <c r="E110" i="1"/>
  <c r="J110" i="1" s="1"/>
  <c r="C111" i="1" s="1"/>
  <c r="D107" i="3" l="1"/>
  <c r="E107" i="3" s="1"/>
  <c r="D111" i="1"/>
  <c r="G111" i="1" s="1"/>
  <c r="I111" i="1" s="1"/>
  <c r="G107" i="3" l="1"/>
  <c r="I107" i="3" s="1"/>
  <c r="J107" i="3" s="1"/>
  <c r="C108" i="3" s="1"/>
  <c r="F108" i="3" s="1"/>
  <c r="E111" i="1"/>
  <c r="J111" i="1" s="1"/>
  <c r="C112" i="1" s="1"/>
  <c r="D108" i="3" l="1"/>
  <c r="E108" i="3" s="1"/>
  <c r="D112" i="1"/>
  <c r="G112" i="1" s="1"/>
  <c r="I112" i="1" s="1"/>
  <c r="G108" i="3" l="1"/>
  <c r="I108" i="3" s="1"/>
  <c r="J108" i="3" s="1"/>
  <c r="C109" i="3" s="1"/>
  <c r="E112" i="1"/>
  <c r="J112" i="1" s="1"/>
  <c r="C113" i="1" s="1"/>
  <c r="F109" i="3" l="1"/>
  <c r="D109" i="3"/>
  <c r="E109" i="3" s="1"/>
  <c r="D113" i="1"/>
  <c r="G113" i="1" s="1"/>
  <c r="I113" i="1" s="1"/>
  <c r="G109" i="3" l="1"/>
  <c r="I109" i="3" s="1"/>
  <c r="J109" i="3" s="1"/>
  <c r="C110" i="3" s="1"/>
  <c r="E113" i="1"/>
  <c r="J113" i="1" s="1"/>
  <c r="C114" i="1" s="1"/>
  <c r="D110" i="3" l="1"/>
  <c r="E110" i="3" s="1"/>
  <c r="F110" i="3"/>
  <c r="G110" i="3" s="1"/>
  <c r="I110" i="3" s="1"/>
  <c r="D114" i="1"/>
  <c r="G114" i="1" s="1"/>
  <c r="I114" i="1" s="1"/>
  <c r="J110" i="3" l="1"/>
  <c r="C111" i="3" s="1"/>
  <c r="D111" i="3" s="1"/>
  <c r="E111" i="3" s="1"/>
  <c r="E114" i="1"/>
  <c r="J114" i="1" s="1"/>
  <c r="C115" i="1" s="1"/>
  <c r="F111" i="3" l="1"/>
  <c r="G111" i="3"/>
  <c r="I111" i="3" s="1"/>
  <c r="J111" i="3" s="1"/>
  <c r="C112" i="3" s="1"/>
  <c r="D115" i="1"/>
  <c r="G115" i="1" s="1"/>
  <c r="I115" i="1" s="1"/>
  <c r="D112" i="3" l="1"/>
  <c r="E112" i="3" s="1"/>
  <c r="F112" i="3"/>
  <c r="E115" i="1"/>
  <c r="J115" i="1" s="1"/>
  <c r="C116" i="1" s="1"/>
  <c r="G112" i="3" l="1"/>
  <c r="I112" i="3" s="1"/>
  <c r="J112" i="3" s="1"/>
  <c r="C113" i="3" s="1"/>
  <c r="D116" i="1"/>
  <c r="G116" i="1" s="1"/>
  <c r="I116" i="1" s="1"/>
  <c r="F113" i="3" l="1"/>
  <c r="D113" i="3"/>
  <c r="E113" i="3" s="1"/>
  <c r="E116" i="1"/>
  <c r="J116" i="1" s="1"/>
  <c r="C117" i="1" s="1"/>
  <c r="D117" i="1" s="1"/>
  <c r="G117" i="1" s="1"/>
  <c r="I117" i="1" s="1"/>
  <c r="G113" i="3" l="1"/>
  <c r="I113" i="3" s="1"/>
  <c r="J113" i="3" s="1"/>
  <c r="C114" i="3" s="1"/>
  <c r="E117" i="1"/>
  <c r="J117" i="1" s="1"/>
  <c r="C118" i="1" s="1"/>
  <c r="F114" i="3" l="1"/>
  <c r="D114" i="3"/>
  <c r="E114" i="3" s="1"/>
  <c r="D118" i="1"/>
  <c r="G118" i="1" s="1"/>
  <c r="I118" i="1" s="1"/>
  <c r="G114" i="3" l="1"/>
  <c r="I114" i="3" s="1"/>
  <c r="J114" i="3" s="1"/>
  <c r="C115" i="3" s="1"/>
  <c r="F115" i="3" s="1"/>
  <c r="E118" i="1"/>
  <c r="J118" i="1" s="1"/>
  <c r="C119" i="1" s="1"/>
  <c r="D115" i="3" l="1"/>
  <c r="E115" i="3" s="1"/>
  <c r="D119" i="1"/>
  <c r="G119" i="1" s="1"/>
  <c r="I119" i="1" s="1"/>
  <c r="G115" i="3" l="1"/>
  <c r="I115" i="3" s="1"/>
  <c r="J115" i="3" s="1"/>
  <c r="C116" i="3" s="1"/>
  <c r="E119" i="1"/>
  <c r="J119" i="1" s="1"/>
  <c r="C120" i="1" s="1"/>
  <c r="D116" i="3" l="1"/>
  <c r="E116" i="3" s="1"/>
  <c r="F116" i="3"/>
  <c r="G116" i="3" s="1"/>
  <c r="I116" i="3" s="1"/>
  <c r="D120" i="1"/>
  <c r="G120" i="1" s="1"/>
  <c r="I120" i="1" s="1"/>
  <c r="J116" i="3" l="1"/>
  <c r="C117" i="3" s="1"/>
  <c r="F117" i="3" s="1"/>
  <c r="E120" i="1"/>
  <c r="J120" i="1" s="1"/>
  <c r="C121" i="1" s="1"/>
  <c r="D117" i="3" l="1"/>
  <c r="E117" i="3" s="1"/>
  <c r="G117" i="3"/>
  <c r="I117" i="3" s="1"/>
  <c r="D121" i="1"/>
  <c r="G121" i="1" s="1"/>
  <c r="I121" i="1" s="1"/>
  <c r="J117" i="3" l="1"/>
  <c r="C118" i="3" s="1"/>
  <c r="F118" i="3" s="1"/>
  <c r="E121" i="1"/>
  <c r="J121" i="1" s="1"/>
  <c r="C122" i="1" s="1"/>
  <c r="D122" i="1" s="1"/>
  <c r="G122" i="1" s="1"/>
  <c r="I122" i="1" s="1"/>
  <c r="D118" i="3" l="1"/>
  <c r="E118" i="3" s="1"/>
  <c r="G118" i="3"/>
  <c r="I118" i="3" s="1"/>
  <c r="E122" i="1"/>
  <c r="J122" i="1" s="1"/>
  <c r="C123" i="1" s="1"/>
  <c r="J118" i="3" l="1"/>
  <c r="C119" i="3" s="1"/>
  <c r="F119" i="3" s="1"/>
  <c r="D123" i="1"/>
  <c r="G123" i="1" s="1"/>
  <c r="I123" i="1" s="1"/>
  <c r="D119" i="3" l="1"/>
  <c r="E119" i="3" s="1"/>
  <c r="G119" i="3"/>
  <c r="I119" i="3" s="1"/>
  <c r="E123" i="1"/>
  <c r="J123" i="1" s="1"/>
  <c r="C124" i="1" s="1"/>
  <c r="D124" i="1" s="1"/>
  <c r="G124" i="1" s="1"/>
  <c r="I124" i="1" s="1"/>
  <c r="J119" i="3" l="1"/>
  <c r="C120" i="3" s="1"/>
  <c r="F120" i="3" s="1"/>
  <c r="G120" i="3" s="1"/>
  <c r="I120" i="3" s="1"/>
  <c r="E124" i="1"/>
  <c r="J124" i="1" s="1"/>
  <c r="C125" i="1" s="1"/>
  <c r="D125" i="1" s="1"/>
  <c r="D120" i="3" l="1"/>
  <c r="E120" i="3" s="1"/>
  <c r="J120" i="3" s="1"/>
  <c r="C121" i="3" s="1"/>
  <c r="G125" i="1"/>
  <c r="I125" i="1" s="1"/>
  <c r="E125" i="1"/>
  <c r="F121" i="3" l="1"/>
  <c r="D121" i="3"/>
  <c r="G121" i="3" s="1"/>
  <c r="I121" i="3" s="1"/>
  <c r="J125" i="1"/>
  <c r="C126" i="1" s="1"/>
  <c r="D126" i="1" s="1"/>
  <c r="G126" i="1" s="1"/>
  <c r="I126" i="1" s="1"/>
  <c r="E121" i="3" l="1"/>
  <c r="J121" i="3" s="1"/>
  <c r="C122" i="3" s="1"/>
  <c r="D122" i="3" s="1"/>
  <c r="E122" i="3" s="1"/>
  <c r="E126" i="1"/>
  <c r="J126" i="1" s="1"/>
  <c r="C127" i="1" s="1"/>
  <c r="D127" i="1" s="1"/>
  <c r="G127" i="1" s="1"/>
  <c r="I127" i="1" s="1"/>
  <c r="F122" i="3" l="1"/>
  <c r="G122" i="3" s="1"/>
  <c r="I122" i="3" s="1"/>
  <c r="J122" i="3" s="1"/>
  <c r="C123" i="3" s="1"/>
  <c r="E127" i="1"/>
  <c r="J127" i="1" s="1"/>
  <c r="C128" i="1" s="1"/>
  <c r="D123" i="3" l="1"/>
  <c r="E123" i="3" s="1"/>
  <c r="F123" i="3"/>
  <c r="D128" i="1"/>
  <c r="G128" i="1" s="1"/>
  <c r="I128" i="1" s="1"/>
  <c r="G123" i="3" l="1"/>
  <c r="I123" i="3" s="1"/>
  <c r="J123" i="3" s="1"/>
  <c r="C124" i="3" s="1"/>
  <c r="E128" i="1"/>
  <c r="J128" i="1" s="1"/>
  <c r="C129" i="1" s="1"/>
  <c r="D124" i="3" l="1"/>
  <c r="E124" i="3" s="1"/>
  <c r="F124" i="3"/>
  <c r="D129" i="1"/>
  <c r="G129" i="1" s="1"/>
  <c r="I129" i="1" s="1"/>
  <c r="G124" i="3" l="1"/>
  <c r="I124" i="3" s="1"/>
  <c r="J124" i="3" s="1"/>
  <c r="C125" i="3" s="1"/>
  <c r="E129" i="1"/>
  <c r="J129" i="1" s="1"/>
  <c r="C130" i="1" s="1"/>
  <c r="F125" i="3" l="1"/>
  <c r="D125" i="3"/>
  <c r="E125" i="3" s="1"/>
  <c r="D130" i="1"/>
  <c r="G130" i="1" s="1"/>
  <c r="I130" i="1" s="1"/>
  <c r="G125" i="3" l="1"/>
  <c r="I125" i="3" s="1"/>
  <c r="J125" i="3" s="1"/>
  <c r="C126" i="3" s="1"/>
  <c r="E130" i="1"/>
  <c r="J130" i="1" s="1"/>
  <c r="C131" i="1" s="1"/>
  <c r="D126" i="3" l="1"/>
  <c r="E126" i="3" s="1"/>
  <c r="F126" i="3"/>
  <c r="G126" i="3" s="1"/>
  <c r="I126" i="3" s="1"/>
  <c r="D131" i="1"/>
  <c r="G131" i="1" s="1"/>
  <c r="I131" i="1" s="1"/>
  <c r="J126" i="3" l="1"/>
  <c r="C127" i="3" s="1"/>
  <c r="F127" i="3" s="1"/>
  <c r="E131" i="1"/>
  <c r="J131" i="1" s="1"/>
  <c r="C132" i="1" s="1"/>
  <c r="D127" i="3" l="1"/>
  <c r="G127" i="3" s="1"/>
  <c r="I127" i="3" s="1"/>
  <c r="D132" i="1"/>
  <c r="G132" i="1" s="1"/>
  <c r="I132" i="1" s="1"/>
  <c r="E127" i="3" l="1"/>
  <c r="J127" i="3" s="1"/>
  <c r="C128" i="3" s="1"/>
  <c r="D128" i="3" s="1"/>
  <c r="E128" i="3" s="1"/>
  <c r="E132" i="1"/>
  <c r="J132" i="1" s="1"/>
  <c r="C133" i="1" s="1"/>
  <c r="F128" i="3" l="1"/>
  <c r="G128" i="3" s="1"/>
  <c r="I128" i="3" s="1"/>
  <c r="J128" i="3" s="1"/>
  <c r="C129" i="3" s="1"/>
  <c r="D133" i="1"/>
  <c r="G133" i="1" s="1"/>
  <c r="I133" i="1" s="1"/>
  <c r="F129" i="3" l="1"/>
  <c r="D129" i="3"/>
  <c r="E129" i="3" s="1"/>
  <c r="E133" i="1"/>
  <c r="J133" i="1" s="1"/>
  <c r="C134" i="1" s="1"/>
  <c r="G129" i="3" l="1"/>
  <c r="I129" i="3" s="1"/>
  <c r="J129" i="3" s="1"/>
  <c r="C130" i="3" s="1"/>
  <c r="D134" i="1"/>
  <c r="G134" i="1" s="1"/>
  <c r="I134" i="1" s="1"/>
  <c r="F130" i="3" l="1"/>
  <c r="G130" i="3" s="1"/>
  <c r="I130" i="3" s="1"/>
  <c r="D130" i="3"/>
  <c r="E130" i="3" s="1"/>
  <c r="E134" i="1"/>
  <c r="J134" i="1" s="1"/>
  <c r="C135" i="1" s="1"/>
  <c r="D135" i="1" s="1"/>
  <c r="G135" i="1" s="1"/>
  <c r="I135" i="1" s="1"/>
  <c r="J130" i="3" l="1"/>
  <c r="C131" i="3" s="1"/>
  <c r="E135" i="1"/>
  <c r="J135" i="1" s="1"/>
  <c r="C136" i="1" s="1"/>
  <c r="D131" i="3" l="1"/>
  <c r="E131" i="3" s="1"/>
  <c r="F131" i="3"/>
  <c r="D136" i="1"/>
  <c r="G136" i="1" s="1"/>
  <c r="I136" i="1" s="1"/>
  <c r="G131" i="3" l="1"/>
  <c r="I131" i="3" s="1"/>
  <c r="J131" i="3" s="1"/>
  <c r="C132" i="3" s="1"/>
  <c r="E136" i="1"/>
  <c r="J136" i="1" s="1"/>
  <c r="C137" i="1" s="1"/>
  <c r="D132" i="3" l="1"/>
  <c r="E132" i="3" s="1"/>
  <c r="F132" i="3"/>
  <c r="D137" i="1"/>
  <c r="G137" i="1" s="1"/>
  <c r="I137" i="1" s="1"/>
  <c r="G132" i="3" l="1"/>
  <c r="I132" i="3" s="1"/>
  <c r="J132" i="3" s="1"/>
  <c r="C133" i="3" s="1"/>
  <c r="F133" i="3" s="1"/>
  <c r="E137" i="1"/>
  <c r="J137" i="1" s="1"/>
  <c r="C138" i="1" s="1"/>
  <c r="D133" i="3" l="1"/>
  <c r="E133" i="3" s="1"/>
  <c r="D138" i="1"/>
  <c r="G138" i="1" s="1"/>
  <c r="I138" i="1" s="1"/>
  <c r="G133" i="3" l="1"/>
  <c r="I133" i="3" s="1"/>
  <c r="J133" i="3" s="1"/>
  <c r="C134" i="3" s="1"/>
  <c r="E138" i="1"/>
  <c r="J138" i="1" s="1"/>
  <c r="C139" i="1" s="1"/>
  <c r="F134" i="3" l="1"/>
  <c r="D134" i="3"/>
  <c r="E134" i="3" s="1"/>
  <c r="D139" i="1"/>
  <c r="G139" i="1" s="1"/>
  <c r="I139" i="1" s="1"/>
  <c r="G134" i="3" l="1"/>
  <c r="I134" i="3" s="1"/>
  <c r="J134" i="3" s="1"/>
  <c r="C135" i="3" s="1"/>
  <c r="E139" i="1"/>
  <c r="J139" i="1" s="1"/>
  <c r="C140" i="1" s="1"/>
  <c r="D140" i="1" s="1"/>
  <c r="G140" i="1" s="1"/>
  <c r="I140" i="1" s="1"/>
  <c r="D135" i="3" l="1"/>
  <c r="E135" i="3" s="1"/>
  <c r="F135" i="3"/>
  <c r="G135" i="3" s="1"/>
  <c r="I135" i="3" s="1"/>
  <c r="E140" i="1"/>
  <c r="J140" i="1" s="1"/>
  <c r="C141" i="1" s="1"/>
  <c r="J135" i="3" l="1"/>
  <c r="C136" i="3" s="1"/>
  <c r="D141" i="1"/>
  <c r="G141" i="1" s="1"/>
  <c r="I141" i="1" s="1"/>
  <c r="D136" i="3" l="1"/>
  <c r="E136" i="3" s="1"/>
  <c r="F136" i="3"/>
  <c r="G136" i="3" s="1"/>
  <c r="I136" i="3" s="1"/>
  <c r="E141" i="1"/>
  <c r="J141" i="1" s="1"/>
  <c r="C142" i="1" s="1"/>
  <c r="J136" i="3" l="1"/>
  <c r="C137" i="3" s="1"/>
  <c r="D142" i="1"/>
  <c r="G142" i="1" s="1"/>
  <c r="I142" i="1" s="1"/>
  <c r="F137" i="3" l="1"/>
  <c r="D137" i="3"/>
  <c r="E137" i="3" s="1"/>
  <c r="E142" i="1"/>
  <c r="J142" i="1" s="1"/>
  <c r="C143" i="1" s="1"/>
  <c r="G137" i="3" l="1"/>
  <c r="I137" i="3" s="1"/>
  <c r="J137" i="3" s="1"/>
  <c r="C138" i="3" s="1"/>
  <c r="D143" i="1"/>
  <c r="G143" i="1" s="1"/>
  <c r="I143" i="1" s="1"/>
  <c r="D138" i="3" l="1"/>
  <c r="E138" i="3" s="1"/>
  <c r="F138" i="3"/>
  <c r="E143" i="1"/>
  <c r="J143" i="1" s="1"/>
  <c r="C144" i="1" s="1"/>
  <c r="G138" i="3" l="1"/>
  <c r="I138" i="3" s="1"/>
  <c r="J138" i="3" s="1"/>
  <c r="C139" i="3" s="1"/>
  <c r="D144" i="1"/>
  <c r="G144" i="1" s="1"/>
  <c r="I144" i="1" s="1"/>
  <c r="F139" i="3" l="1"/>
  <c r="D139" i="3"/>
  <c r="E139" i="3" s="1"/>
  <c r="E144" i="1"/>
  <c r="J144" i="1" s="1"/>
  <c r="C145" i="1" s="1"/>
  <c r="D145" i="1" s="1"/>
  <c r="G145" i="1" s="1"/>
  <c r="I145" i="1" s="1"/>
  <c r="G139" i="3" l="1"/>
  <c r="I139" i="3" s="1"/>
  <c r="J139" i="3" s="1"/>
  <c r="C140" i="3" s="1"/>
  <c r="E145" i="1"/>
  <c r="J145" i="1" s="1"/>
  <c r="C146" i="1" s="1"/>
  <c r="F140" i="3" l="1"/>
  <c r="D140" i="3"/>
  <c r="E140" i="3" s="1"/>
  <c r="D146" i="1"/>
  <c r="G146" i="1" s="1"/>
  <c r="I146" i="1" s="1"/>
  <c r="G140" i="3" l="1"/>
  <c r="I140" i="3" s="1"/>
  <c r="J140" i="3" s="1"/>
  <c r="C141" i="3" s="1"/>
  <c r="E146" i="1"/>
  <c r="J146" i="1" s="1"/>
  <c r="C147" i="1" s="1"/>
  <c r="F141" i="3" l="1"/>
  <c r="D141" i="3"/>
  <c r="E141" i="3" s="1"/>
  <c r="D147" i="1"/>
  <c r="G147" i="1" s="1"/>
  <c r="I147" i="1" s="1"/>
  <c r="G141" i="3" l="1"/>
  <c r="I141" i="3" s="1"/>
  <c r="J141" i="3" s="1"/>
  <c r="C142" i="3" s="1"/>
  <c r="E147" i="1"/>
  <c r="J147" i="1" s="1"/>
  <c r="C148" i="1" s="1"/>
  <c r="D142" i="3" l="1"/>
  <c r="E142" i="3" s="1"/>
  <c r="F142" i="3"/>
  <c r="G142" i="3" s="1"/>
  <c r="I142" i="3" s="1"/>
  <c r="D148" i="1"/>
  <c r="G148" i="1" s="1"/>
  <c r="I148" i="1" s="1"/>
  <c r="J142" i="3" l="1"/>
  <c r="C143" i="3" s="1"/>
  <c r="E148" i="1"/>
  <c r="J148" i="1" s="1"/>
  <c r="C149" i="1" s="1"/>
  <c r="D143" i="3" l="1"/>
  <c r="E143" i="3" s="1"/>
  <c r="F143" i="3"/>
  <c r="G143" i="3" s="1"/>
  <c r="I143" i="3" s="1"/>
  <c r="D149" i="1"/>
  <c r="G149" i="1" s="1"/>
  <c r="I149" i="1" s="1"/>
  <c r="J143" i="3" l="1"/>
  <c r="C144" i="3" s="1"/>
  <c r="E149" i="1"/>
  <c r="J149" i="1" s="1"/>
  <c r="C150" i="1" s="1"/>
  <c r="D150" i="1" s="1"/>
  <c r="G150" i="1" s="1"/>
  <c r="I150" i="1" s="1"/>
  <c r="F144" i="3" l="1"/>
  <c r="D144" i="3"/>
  <c r="E144" i="3" s="1"/>
  <c r="E150" i="1"/>
  <c r="J150" i="1" s="1"/>
  <c r="C151" i="1" s="1"/>
  <c r="D151" i="1" s="1"/>
  <c r="G151" i="1" s="1"/>
  <c r="I151" i="1" s="1"/>
  <c r="G144" i="3" l="1"/>
  <c r="I144" i="3" s="1"/>
  <c r="J144" i="3" s="1"/>
  <c r="C145" i="3" s="1"/>
  <c r="E151" i="1"/>
  <c r="J151" i="1" s="1"/>
  <c r="C152" i="1" s="1"/>
  <c r="D152" i="1" s="1"/>
  <c r="G152" i="1" s="1"/>
  <c r="I152" i="1" s="1"/>
  <c r="F145" i="3" l="1"/>
  <c r="D145" i="3"/>
  <c r="G145" i="3" s="1"/>
  <c r="I145" i="3" s="1"/>
  <c r="E152" i="1"/>
  <c r="J152" i="1" s="1"/>
  <c r="C153" i="1" s="1"/>
  <c r="E145" i="3" l="1"/>
  <c r="J145" i="3" s="1"/>
  <c r="C146" i="3" s="1"/>
  <c r="D153" i="1"/>
  <c r="G153" i="1" s="1"/>
  <c r="I153" i="1" s="1"/>
  <c r="D146" i="3" l="1"/>
  <c r="E146" i="3" s="1"/>
  <c r="F146" i="3"/>
  <c r="E153" i="1"/>
  <c r="J153" i="1" s="1"/>
  <c r="C154" i="1" s="1"/>
  <c r="G146" i="3" l="1"/>
  <c r="I146" i="3" s="1"/>
  <c r="J146" i="3" s="1"/>
  <c r="C147" i="3" s="1"/>
  <c r="D154" i="1"/>
  <c r="G154" i="1" s="1"/>
  <c r="I154" i="1" s="1"/>
  <c r="D147" i="3" l="1"/>
  <c r="E147" i="3" s="1"/>
  <c r="F147" i="3"/>
  <c r="G147" i="3" s="1"/>
  <c r="I147" i="3" s="1"/>
  <c r="E154" i="1"/>
  <c r="J154" i="1" s="1"/>
  <c r="C155" i="1" s="1"/>
  <c r="D155" i="1" s="1"/>
  <c r="G155" i="1" s="1"/>
  <c r="I155" i="1" s="1"/>
  <c r="J147" i="3" l="1"/>
  <c r="C148" i="3" s="1"/>
  <c r="E155" i="1"/>
  <c r="J155" i="1" s="1"/>
  <c r="C156" i="1" s="1"/>
  <c r="D148" i="3" l="1"/>
  <c r="E148" i="3" s="1"/>
  <c r="F148" i="3"/>
  <c r="G148" i="3" s="1"/>
  <c r="I148" i="3" s="1"/>
  <c r="D156" i="1"/>
  <c r="G156" i="1" s="1"/>
  <c r="I156" i="1" s="1"/>
  <c r="J148" i="3" l="1"/>
  <c r="C149" i="3" s="1"/>
  <c r="D149" i="3" s="1"/>
  <c r="G149" i="3" s="1"/>
  <c r="I149" i="3" s="1"/>
  <c r="E156" i="1"/>
  <c r="J156" i="1" s="1"/>
  <c r="C157" i="1" s="1"/>
  <c r="F149" i="3" l="1"/>
  <c r="E149" i="3"/>
  <c r="J149" i="3" s="1"/>
  <c r="C150" i="3" s="1"/>
  <c r="D157" i="1"/>
  <c r="G157" i="1" s="1"/>
  <c r="I157" i="1" s="1"/>
  <c r="F150" i="3" l="1"/>
  <c r="D150" i="3"/>
  <c r="E150" i="3" s="1"/>
  <c r="E157" i="1"/>
  <c r="J157" i="1" s="1"/>
  <c r="C158" i="1" s="1"/>
  <c r="G150" i="3" l="1"/>
  <c r="I150" i="3" s="1"/>
  <c r="J150" i="3" s="1"/>
  <c r="C151" i="3" s="1"/>
  <c r="D158" i="1"/>
  <c r="G158" i="1" s="1"/>
  <c r="I158" i="1" s="1"/>
  <c r="D151" i="3" l="1"/>
  <c r="E151" i="3" s="1"/>
  <c r="F151" i="3"/>
  <c r="G151" i="3" s="1"/>
  <c r="I151" i="3" s="1"/>
  <c r="E158" i="1"/>
  <c r="J158" i="1" s="1"/>
  <c r="C159" i="1" s="1"/>
  <c r="D159" i="1" s="1"/>
  <c r="G159" i="1" s="1"/>
  <c r="I159" i="1" s="1"/>
  <c r="J151" i="3" l="1"/>
  <c r="C152" i="3" s="1"/>
  <c r="F152" i="3" s="1"/>
  <c r="E159" i="1"/>
  <c r="J159" i="1" s="1"/>
  <c r="C160" i="1" s="1"/>
  <c r="D152" i="3" l="1"/>
  <c r="E152" i="3" s="1"/>
  <c r="D160" i="1"/>
  <c r="G160" i="1" s="1"/>
  <c r="I160" i="1" s="1"/>
  <c r="G152" i="3" l="1"/>
  <c r="I152" i="3" s="1"/>
  <c r="J152" i="3" s="1"/>
  <c r="C153" i="3" s="1"/>
  <c r="E160" i="1"/>
  <c r="J160" i="1" s="1"/>
  <c r="C161" i="1" s="1"/>
  <c r="D153" i="3" l="1"/>
  <c r="E153" i="3" s="1"/>
  <c r="F153" i="3"/>
  <c r="D161" i="1"/>
  <c r="G161" i="1" s="1"/>
  <c r="I161" i="1" s="1"/>
  <c r="G153" i="3" l="1"/>
  <c r="I153" i="3" s="1"/>
  <c r="J153" i="3" s="1"/>
  <c r="C154" i="3" s="1"/>
  <c r="E161" i="1"/>
  <c r="J161" i="1" s="1"/>
  <c r="C162" i="1" s="1"/>
  <c r="F154" i="3" l="1"/>
  <c r="D154" i="3"/>
  <c r="E154" i="3" s="1"/>
  <c r="D162" i="1"/>
  <c r="G162" i="1" s="1"/>
  <c r="I162" i="1" s="1"/>
  <c r="G154" i="3" l="1"/>
  <c r="I154" i="3" s="1"/>
  <c r="J154" i="3" s="1"/>
  <c r="C155" i="3" s="1"/>
  <c r="F155" i="3" s="1"/>
  <c r="E162" i="1"/>
  <c r="J162" i="1" s="1"/>
  <c r="C163" i="1" s="1"/>
  <c r="D163" i="1" s="1"/>
  <c r="G163" i="1" s="1"/>
  <c r="I163" i="1" s="1"/>
  <c r="D155" i="3" l="1"/>
  <c r="E155" i="3" s="1"/>
  <c r="E163" i="1"/>
  <c r="J163" i="1" s="1"/>
  <c r="C164" i="1" s="1"/>
  <c r="G155" i="3" l="1"/>
  <c r="I155" i="3" s="1"/>
  <c r="J155" i="3" s="1"/>
  <c r="C156" i="3" s="1"/>
  <c r="D164" i="1"/>
  <c r="G164" i="1" s="1"/>
  <c r="I164" i="1" s="1"/>
  <c r="F156" i="3" l="1"/>
  <c r="D156" i="3"/>
  <c r="E156" i="3" s="1"/>
  <c r="E164" i="1"/>
  <c r="J164" i="1" s="1"/>
  <c r="C165" i="1" s="1"/>
  <c r="D165" i="1" s="1"/>
  <c r="G165" i="1" s="1"/>
  <c r="I165" i="1" s="1"/>
  <c r="G156" i="3" l="1"/>
  <c r="I156" i="3" s="1"/>
  <c r="J156" i="3" s="1"/>
  <c r="C157" i="3" s="1"/>
  <c r="E165" i="1"/>
  <c r="J165" i="1" s="1"/>
  <c r="C166" i="1" s="1"/>
  <c r="F157" i="3" l="1"/>
  <c r="D157" i="3"/>
  <c r="E157" i="3" s="1"/>
  <c r="D166" i="1"/>
  <c r="G166" i="1" s="1"/>
  <c r="I166" i="1" s="1"/>
  <c r="G157" i="3" l="1"/>
  <c r="I157" i="3" s="1"/>
  <c r="J157" i="3" s="1"/>
  <c r="C158" i="3" s="1"/>
  <c r="D158" i="3" s="1"/>
  <c r="E158" i="3" s="1"/>
  <c r="E166" i="1"/>
  <c r="J166" i="1" s="1"/>
  <c r="C167" i="1" s="1"/>
  <c r="F158" i="3" l="1"/>
  <c r="G158" i="3" s="1"/>
  <c r="I158" i="3" s="1"/>
  <c r="J158" i="3" s="1"/>
  <c r="C159" i="3" s="1"/>
  <c r="F159" i="3" s="1"/>
  <c r="D167" i="1"/>
  <c r="G167" i="1" s="1"/>
  <c r="I167" i="1" s="1"/>
  <c r="D159" i="3" l="1"/>
  <c r="E159" i="3" s="1"/>
  <c r="E167" i="1"/>
  <c r="J167" i="1" s="1"/>
  <c r="C168" i="1" s="1"/>
  <c r="G159" i="3" l="1"/>
  <c r="I159" i="3" s="1"/>
  <c r="J159" i="3" s="1"/>
  <c r="C160" i="3" s="1"/>
  <c r="D160" i="3" s="1"/>
  <c r="E160" i="3" s="1"/>
  <c r="D168" i="1"/>
  <c r="G168" i="1" s="1"/>
  <c r="I168" i="1" s="1"/>
  <c r="F160" i="3" l="1"/>
  <c r="G160" i="3" s="1"/>
  <c r="I160" i="3" s="1"/>
  <c r="J160" i="3" s="1"/>
  <c r="C161" i="3" s="1"/>
  <c r="E168" i="1"/>
  <c r="J168" i="1" s="1"/>
  <c r="C169" i="1" s="1"/>
  <c r="F161" i="3" l="1"/>
  <c r="D161" i="3"/>
  <c r="E161" i="3" s="1"/>
  <c r="D169" i="1"/>
  <c r="G169" i="1" s="1"/>
  <c r="I169" i="1" s="1"/>
  <c r="G161" i="3" l="1"/>
  <c r="I161" i="3" s="1"/>
  <c r="J161" i="3" s="1"/>
  <c r="C162" i="3" s="1"/>
  <c r="E169" i="1"/>
  <c r="J169" i="1" s="1"/>
  <c r="C170" i="1" s="1"/>
  <c r="F162" i="3" l="1"/>
  <c r="G162" i="3" s="1"/>
  <c r="I162" i="3" s="1"/>
  <c r="D162" i="3"/>
  <c r="E162" i="3" s="1"/>
  <c r="D170" i="1"/>
  <c r="G170" i="1" s="1"/>
  <c r="I170" i="1" s="1"/>
  <c r="J162" i="3" l="1"/>
  <c r="C163" i="3" s="1"/>
  <c r="F163" i="3" s="1"/>
  <c r="G163" i="3" s="1"/>
  <c r="I163" i="3" s="1"/>
  <c r="E170" i="1"/>
  <c r="J170" i="1" s="1"/>
  <c r="C171" i="1" s="1"/>
  <c r="D163" i="3" l="1"/>
  <c r="E163" i="3" s="1"/>
  <c r="J163" i="3" s="1"/>
  <c r="C164" i="3" s="1"/>
  <c r="D171" i="1"/>
  <c r="G171" i="1" s="1"/>
  <c r="I171" i="1" s="1"/>
  <c r="F164" i="3" l="1"/>
  <c r="D164" i="3"/>
  <c r="E164" i="3" s="1"/>
  <c r="E171" i="1"/>
  <c r="J171" i="1" s="1"/>
  <c r="C172" i="1" s="1"/>
  <c r="G164" i="3" l="1"/>
  <c r="I164" i="3" s="1"/>
  <c r="J164" i="3" s="1"/>
  <c r="C165" i="3" s="1"/>
  <c r="D172" i="1"/>
  <c r="G172" i="1" s="1"/>
  <c r="I172" i="1" s="1"/>
  <c r="D165" i="3" l="1"/>
  <c r="E165" i="3" s="1"/>
  <c r="F165" i="3"/>
  <c r="G165" i="3" s="1"/>
  <c r="I165" i="3" s="1"/>
  <c r="E172" i="1"/>
  <c r="J172" i="1" s="1"/>
  <c r="C173" i="1" s="1"/>
  <c r="D173" i="1" s="1"/>
  <c r="G173" i="1" s="1"/>
  <c r="I173" i="1" s="1"/>
  <c r="J165" i="3" l="1"/>
  <c r="C166" i="3" s="1"/>
  <c r="D166" i="3" s="1"/>
  <c r="E166" i="3" s="1"/>
  <c r="E173" i="1"/>
  <c r="J173" i="1" s="1"/>
  <c r="C174" i="1" s="1"/>
  <c r="F166" i="3" l="1"/>
  <c r="G166" i="3" s="1"/>
  <c r="I166" i="3" s="1"/>
  <c r="J166" i="3" s="1"/>
  <c r="C167" i="3" s="1"/>
  <c r="F167" i="3" s="1"/>
  <c r="D174" i="1"/>
  <c r="G174" i="1" s="1"/>
  <c r="I174" i="1" s="1"/>
  <c r="D167" i="3" l="1"/>
  <c r="E167" i="3" s="1"/>
  <c r="E174" i="1"/>
  <c r="J174" i="1" s="1"/>
  <c r="C175" i="1" s="1"/>
  <c r="G167" i="3" l="1"/>
  <c r="I167" i="3" s="1"/>
  <c r="J167" i="3" s="1"/>
  <c r="C168" i="3" s="1"/>
  <c r="F168" i="3" s="1"/>
  <c r="D175" i="1"/>
  <c r="G175" i="1" s="1"/>
  <c r="I175" i="1" s="1"/>
  <c r="D168" i="3" l="1"/>
  <c r="E168" i="3" s="1"/>
  <c r="E175" i="1"/>
  <c r="J175" i="1" s="1"/>
  <c r="C176" i="1" s="1"/>
  <c r="G168" i="3" l="1"/>
  <c r="I168" i="3" s="1"/>
  <c r="J168" i="3" s="1"/>
  <c r="C169" i="3" s="1"/>
  <c r="D176" i="1"/>
  <c r="G176" i="1" s="1"/>
  <c r="I176" i="1" s="1"/>
  <c r="F169" i="3" l="1"/>
  <c r="D169" i="3"/>
  <c r="E169" i="3" s="1"/>
  <c r="E176" i="1"/>
  <c r="J176" i="1" s="1"/>
  <c r="C177" i="1" s="1"/>
  <c r="G169" i="3" l="1"/>
  <c r="I169" i="3" s="1"/>
  <c r="J169" i="3" s="1"/>
  <c r="C170" i="3" s="1"/>
  <c r="D170" i="3" s="1"/>
  <c r="E170" i="3" s="1"/>
  <c r="D177" i="1"/>
  <c r="G177" i="1" s="1"/>
  <c r="I177" i="1" s="1"/>
  <c r="F170" i="3" l="1"/>
  <c r="G170" i="3" s="1"/>
  <c r="I170" i="3" s="1"/>
  <c r="J170" i="3" s="1"/>
  <c r="C171" i="3" s="1"/>
  <c r="E177" i="1"/>
  <c r="J177" i="1" s="1"/>
  <c r="C178" i="1" s="1"/>
  <c r="F171" i="3" l="1"/>
  <c r="G171" i="3" s="1"/>
  <c r="I171" i="3" s="1"/>
  <c r="D171" i="3"/>
  <c r="E171" i="3" s="1"/>
  <c r="D178" i="1"/>
  <c r="G178" i="1" s="1"/>
  <c r="I178" i="1" s="1"/>
  <c r="J171" i="3" l="1"/>
  <c r="C172" i="3" s="1"/>
  <c r="E178" i="1"/>
  <c r="J178" i="1" s="1"/>
  <c r="C179" i="1" s="1"/>
  <c r="F172" i="3" l="1"/>
  <c r="D172" i="3"/>
  <c r="E172" i="3" s="1"/>
  <c r="D179" i="1"/>
  <c r="G179" i="1" s="1"/>
  <c r="I179" i="1" s="1"/>
  <c r="G172" i="3" l="1"/>
  <c r="I172" i="3" s="1"/>
  <c r="J172" i="3" s="1"/>
  <c r="C173" i="3" s="1"/>
  <c r="F173" i="3" s="1"/>
  <c r="E179" i="1"/>
  <c r="J179" i="1" s="1"/>
  <c r="C180" i="1" s="1"/>
  <c r="D173" i="3" l="1"/>
  <c r="G173" i="3" s="1"/>
  <c r="I173" i="3" s="1"/>
  <c r="D180" i="1"/>
  <c r="G180" i="1" s="1"/>
  <c r="I180" i="1" s="1"/>
  <c r="E173" i="3" l="1"/>
  <c r="J173" i="3" s="1"/>
  <c r="C174" i="3" s="1"/>
  <c r="F174" i="3" s="1"/>
  <c r="E180" i="1"/>
  <c r="J180" i="1" s="1"/>
  <c r="C181" i="1" s="1"/>
  <c r="G174" i="3" l="1"/>
  <c r="I174" i="3" s="1"/>
  <c r="D174" i="3"/>
  <c r="E174" i="3" s="1"/>
  <c r="D181" i="1"/>
  <c r="G181" i="1" s="1"/>
  <c r="I181" i="1" s="1"/>
  <c r="J174" i="3" l="1"/>
  <c r="C175" i="3" s="1"/>
  <c r="E181" i="1"/>
  <c r="J181" i="1" s="1"/>
  <c r="C182" i="1" s="1"/>
  <c r="D175" i="3" l="1"/>
  <c r="E175" i="3" s="1"/>
  <c r="F175" i="3"/>
  <c r="G175" i="3" s="1"/>
  <c r="I175" i="3" s="1"/>
  <c r="D182" i="1"/>
  <c r="G182" i="1" s="1"/>
  <c r="I182" i="1" s="1"/>
  <c r="J175" i="3" l="1"/>
  <c r="C176" i="3" s="1"/>
  <c r="D176" i="3" s="1"/>
  <c r="E176" i="3" s="1"/>
  <c r="E182" i="1"/>
  <c r="J182" i="1" s="1"/>
  <c r="C183" i="1" s="1"/>
  <c r="G176" i="3" l="1"/>
  <c r="I176" i="3" s="1"/>
  <c r="J176" i="3" s="1"/>
  <c r="C177" i="3" s="1"/>
  <c r="D177" i="3" s="1"/>
  <c r="E177" i="3" s="1"/>
  <c r="F176" i="3"/>
  <c r="D183" i="1"/>
  <c r="G183" i="1" s="1"/>
  <c r="I183" i="1" s="1"/>
  <c r="F177" i="3" l="1"/>
  <c r="G177" i="3"/>
  <c r="I177" i="3" s="1"/>
  <c r="J177" i="3" s="1"/>
  <c r="C178" i="3" s="1"/>
  <c r="D178" i="3" s="1"/>
  <c r="E178" i="3" s="1"/>
  <c r="E183" i="1"/>
  <c r="J183" i="1" s="1"/>
  <c r="C184" i="1" s="1"/>
  <c r="F178" i="3" l="1"/>
  <c r="G178" i="3" s="1"/>
  <c r="I178" i="3" s="1"/>
  <c r="J178" i="3" s="1"/>
  <c r="C179" i="3" s="1"/>
  <c r="D184" i="1"/>
  <c r="G184" i="1" s="1"/>
  <c r="I184" i="1" s="1"/>
  <c r="F179" i="3" l="1"/>
  <c r="D179" i="3"/>
  <c r="E179" i="3" s="1"/>
  <c r="E184" i="1"/>
  <c r="J184" i="1" s="1"/>
  <c r="C185" i="1" s="1"/>
  <c r="G179" i="3" l="1"/>
  <c r="I179" i="3" s="1"/>
  <c r="J179" i="3" s="1"/>
  <c r="C180" i="3" s="1"/>
  <c r="D185" i="1"/>
  <c r="G185" i="1" s="1"/>
  <c r="I185" i="1" s="1"/>
  <c r="D180" i="3" l="1"/>
  <c r="E180" i="3" s="1"/>
  <c r="F180" i="3"/>
  <c r="G180" i="3" s="1"/>
  <c r="I180" i="3" s="1"/>
  <c r="E185" i="1"/>
  <c r="J185" i="1" s="1"/>
  <c r="C186" i="1" s="1"/>
  <c r="J180" i="3" l="1"/>
  <c r="C181" i="3" s="1"/>
  <c r="D186" i="1"/>
  <c r="G186" i="1" s="1"/>
  <c r="I186" i="1" s="1"/>
  <c r="D181" i="3" l="1"/>
  <c r="F181" i="3"/>
  <c r="E186" i="1"/>
  <c r="J186" i="1" s="1"/>
  <c r="C187" i="1" s="1"/>
  <c r="G181" i="3" l="1"/>
  <c r="I181" i="3" s="1"/>
  <c r="E181" i="3"/>
  <c r="D187" i="1"/>
  <c r="G187" i="1" s="1"/>
  <c r="I187" i="1" s="1"/>
  <c r="J181" i="3" l="1"/>
  <c r="C182" i="3" s="1"/>
  <c r="F182" i="3" s="1"/>
  <c r="E187" i="1"/>
  <c r="J187" i="1" s="1"/>
  <c r="C188" i="1" s="1"/>
  <c r="D182" i="3" l="1"/>
  <c r="E182" i="3" s="1"/>
  <c r="D188" i="1"/>
  <c r="G188" i="1" s="1"/>
  <c r="I188" i="1" s="1"/>
  <c r="G182" i="3" l="1"/>
  <c r="I182" i="3" s="1"/>
  <c r="J182" i="3" s="1"/>
  <c r="C183" i="3" s="1"/>
  <c r="D183" i="3" s="1"/>
  <c r="E183" i="3" s="1"/>
  <c r="E188" i="1"/>
  <c r="J188" i="1" s="1"/>
  <c r="C189" i="1" s="1"/>
  <c r="F183" i="3" l="1"/>
  <c r="G183" i="3" s="1"/>
  <c r="I183" i="3" s="1"/>
  <c r="J183" i="3" s="1"/>
  <c r="C184" i="3" s="1"/>
  <c r="D189" i="1"/>
  <c r="G189" i="1" s="1"/>
  <c r="I189" i="1" s="1"/>
  <c r="D184" i="3" l="1"/>
  <c r="E184" i="3" s="1"/>
  <c r="F184" i="3"/>
  <c r="G184" i="3" s="1"/>
  <c r="I184" i="3" s="1"/>
  <c r="E189" i="1"/>
  <c r="J189" i="1" s="1"/>
  <c r="C190" i="1" s="1"/>
  <c r="J184" i="3" l="1"/>
  <c r="C185" i="3" s="1"/>
  <c r="D190" i="1"/>
  <c r="G190" i="1" s="1"/>
  <c r="I190" i="1" s="1"/>
  <c r="F185" i="3" l="1"/>
  <c r="D185" i="3"/>
  <c r="E190" i="1"/>
  <c r="J190" i="1" s="1"/>
  <c r="C191" i="1" s="1"/>
  <c r="G185" i="3" l="1"/>
  <c r="I185" i="3" s="1"/>
  <c r="E185" i="3"/>
  <c r="D191" i="1"/>
  <c r="G191" i="1" s="1"/>
  <c r="I191" i="1" s="1"/>
  <c r="J185" i="3" l="1"/>
  <c r="C186" i="3" s="1"/>
  <c r="D186" i="3" s="1"/>
  <c r="E186" i="3" s="1"/>
  <c r="E191" i="1"/>
  <c r="J191" i="1" s="1"/>
  <c r="C192" i="1" s="1"/>
  <c r="F186" i="3" l="1"/>
  <c r="G186" i="3" s="1"/>
  <c r="I186" i="3" s="1"/>
  <c r="J186" i="3" s="1"/>
  <c r="C187" i="3" s="1"/>
  <c r="D192" i="1"/>
  <c r="G192" i="1" s="1"/>
  <c r="I192" i="1" s="1"/>
  <c r="D187" i="3" l="1"/>
  <c r="E187" i="3" s="1"/>
  <c r="F187" i="3"/>
  <c r="E192" i="1"/>
  <c r="J192" i="1" s="1"/>
  <c r="C193" i="1" s="1"/>
  <c r="G187" i="3" l="1"/>
  <c r="I187" i="3" s="1"/>
  <c r="J187" i="3" s="1"/>
  <c r="C188" i="3" s="1"/>
  <c r="D188" i="3" s="1"/>
  <c r="E188" i="3" s="1"/>
  <c r="D193" i="1"/>
  <c r="G193" i="1" s="1"/>
  <c r="I193" i="1" s="1"/>
  <c r="F188" i="3" l="1"/>
  <c r="G188" i="3" s="1"/>
  <c r="I188" i="3" s="1"/>
  <c r="J188" i="3" s="1"/>
  <c r="C189" i="3" s="1"/>
  <c r="E193" i="1"/>
  <c r="J193" i="1" s="1"/>
  <c r="C194" i="1" s="1"/>
  <c r="D189" i="3" l="1"/>
  <c r="F189" i="3"/>
  <c r="D194" i="1"/>
  <c r="G194" i="1" s="1"/>
  <c r="I194" i="1" s="1"/>
  <c r="G189" i="3" l="1"/>
  <c r="I189" i="3" s="1"/>
  <c r="E189" i="3"/>
  <c r="E194" i="1"/>
  <c r="J194" i="1" s="1"/>
  <c r="C195" i="1" s="1"/>
  <c r="J189" i="3" l="1"/>
  <c r="C190" i="3" s="1"/>
  <c r="F190" i="3" s="1"/>
  <c r="D195" i="1"/>
  <c r="G195" i="1" s="1"/>
  <c r="I195" i="1" s="1"/>
  <c r="D190" i="3" l="1"/>
  <c r="E190" i="3" s="1"/>
  <c r="E195" i="1"/>
  <c r="J195" i="1" s="1"/>
  <c r="C196" i="1" s="1"/>
  <c r="G190" i="3" l="1"/>
  <c r="I190" i="3" s="1"/>
  <c r="J190" i="3" s="1"/>
  <c r="C191" i="3" s="1"/>
  <c r="D191" i="3" s="1"/>
  <c r="E191" i="3" s="1"/>
  <c r="D196" i="1"/>
  <c r="G196" i="1" s="1"/>
  <c r="I196" i="1" s="1"/>
  <c r="F191" i="3" l="1"/>
  <c r="G191" i="3" s="1"/>
  <c r="I191" i="3" s="1"/>
  <c r="J191" i="3" s="1"/>
  <c r="C192" i="3" s="1"/>
  <c r="E196" i="1"/>
  <c r="J196" i="1" s="1"/>
  <c r="C197" i="1" s="1"/>
  <c r="F192" i="3" l="1"/>
  <c r="G192" i="3" s="1"/>
  <c r="I192" i="3" s="1"/>
  <c r="D192" i="3"/>
  <c r="E192" i="3" s="1"/>
  <c r="D197" i="1"/>
  <c r="G197" i="1" s="1"/>
  <c r="I197" i="1" s="1"/>
  <c r="J192" i="3" l="1"/>
  <c r="C193" i="3" s="1"/>
  <c r="I193" i="3" s="1"/>
  <c r="E197" i="1"/>
  <c r="J197" i="1" s="1"/>
  <c r="C198" i="1" s="1"/>
  <c r="D193" i="3" l="1"/>
  <c r="E193" i="3" s="1"/>
  <c r="J193" i="3" s="1"/>
  <c r="C194" i="3" s="1"/>
  <c r="D194" i="3" s="1"/>
  <c r="E194" i="3" s="1"/>
  <c r="F193" i="3"/>
  <c r="G193" i="3"/>
  <c r="D198" i="1"/>
  <c r="G198" i="1" s="1"/>
  <c r="I198" i="1" s="1"/>
  <c r="I194" i="3" l="1"/>
  <c r="J194" i="3" s="1"/>
  <c r="C195" i="3" s="1"/>
  <c r="F194" i="3"/>
  <c r="G194" i="3"/>
  <c r="E198" i="1"/>
  <c r="J198" i="1" s="1"/>
  <c r="C199" i="1" s="1"/>
  <c r="D199" i="1" s="1"/>
  <c r="G199" i="1" s="1"/>
  <c r="I199" i="1" s="1"/>
  <c r="G195" i="3" l="1"/>
  <c r="I195" i="3"/>
  <c r="D195" i="3"/>
  <c r="E195" i="3" s="1"/>
  <c r="F195" i="3"/>
  <c r="E199" i="1"/>
  <c r="J199" i="1" s="1"/>
  <c r="C200" i="1" s="1"/>
  <c r="J195" i="3" l="1"/>
  <c r="C196" i="3" s="1"/>
  <c r="I196" i="3" s="1"/>
  <c r="D200" i="1"/>
  <c r="G200" i="1" s="1"/>
  <c r="I200" i="1" s="1"/>
  <c r="D196" i="3" l="1"/>
  <c r="E196" i="3" s="1"/>
  <c r="J196" i="3" s="1"/>
  <c r="C197" i="3" s="1"/>
  <c r="G197" i="3" s="1"/>
  <c r="F196" i="3"/>
  <c r="G196" i="3"/>
  <c r="E200" i="1"/>
  <c r="J200" i="1" s="1"/>
  <c r="C201" i="1" s="1"/>
  <c r="I197" i="3" l="1"/>
  <c r="D197" i="3"/>
  <c r="E197" i="3" s="1"/>
  <c r="F197" i="3"/>
  <c r="D201" i="1"/>
  <c r="G201" i="1" s="1"/>
  <c r="I201" i="1" s="1"/>
  <c r="J197" i="3" l="1"/>
  <c r="C198" i="3" s="1"/>
  <c r="F198" i="3" s="1"/>
  <c r="E201" i="1"/>
  <c r="J201" i="1" s="1"/>
  <c r="C202" i="1" s="1"/>
  <c r="G198" i="3" l="1"/>
  <c r="I198" i="3"/>
  <c r="D198" i="3"/>
  <c r="E198" i="3" s="1"/>
  <c r="D202" i="1"/>
  <c r="G202" i="1" s="1"/>
  <c r="I202" i="1" s="1"/>
  <c r="J198" i="3" l="1"/>
  <c r="C199" i="3" s="1"/>
  <c r="D199" i="3" s="1"/>
  <c r="E199" i="3" s="1"/>
  <c r="E202" i="1"/>
  <c r="J202" i="1" s="1"/>
  <c r="C203" i="1" s="1"/>
  <c r="G199" i="3" l="1"/>
  <c r="I199" i="3"/>
  <c r="J199" i="3" s="1"/>
  <c r="C200" i="3" s="1"/>
  <c r="F200" i="3" s="1"/>
  <c r="F199" i="3"/>
  <c r="D203" i="1"/>
  <c r="G203" i="1" s="1"/>
  <c r="I203" i="1" s="1"/>
  <c r="G200" i="3" l="1"/>
  <c r="D200" i="3"/>
  <c r="E200" i="3" s="1"/>
  <c r="I200" i="3"/>
  <c r="E203" i="1"/>
  <c r="J203" i="1" s="1"/>
  <c r="C204" i="1" s="1"/>
  <c r="J200" i="3" l="1"/>
  <c r="C201" i="3" s="1"/>
  <c r="F201" i="3" s="1"/>
  <c r="D204" i="1"/>
  <c r="G204" i="1" s="1"/>
  <c r="I204" i="1" s="1"/>
  <c r="G201" i="3" l="1"/>
  <c r="I201" i="3"/>
  <c r="D201" i="3"/>
  <c r="E201" i="3" s="1"/>
  <c r="E204" i="1"/>
  <c r="J204" i="1" s="1"/>
  <c r="C205" i="1" s="1"/>
  <c r="J201" i="3" l="1"/>
  <c r="C202" i="3" s="1"/>
  <c r="D202" i="3" s="1"/>
  <c r="E202" i="3" s="1"/>
  <c r="D205" i="1"/>
  <c r="G205" i="1" s="1"/>
  <c r="I205" i="1" s="1"/>
  <c r="G202" i="3" l="1"/>
  <c r="I202" i="3"/>
  <c r="J202" i="3" s="1"/>
  <c r="C203" i="3" s="1"/>
  <c r="F203" i="3" s="1"/>
  <c r="F202" i="3"/>
  <c r="E205" i="1"/>
  <c r="J205" i="1" s="1"/>
  <c r="C206" i="1" s="1"/>
  <c r="D203" i="3" l="1"/>
  <c r="E203" i="3" s="1"/>
  <c r="G203" i="3"/>
  <c r="I203" i="3"/>
  <c r="D206" i="1"/>
  <c r="G206" i="1" s="1"/>
  <c r="I206" i="1" s="1"/>
  <c r="J203" i="3" l="1"/>
  <c r="C204" i="3" s="1"/>
  <c r="I204" i="3" s="1"/>
  <c r="E206" i="1"/>
  <c r="J206" i="1" s="1"/>
  <c r="C207" i="1" s="1"/>
  <c r="F204" i="3" l="1"/>
  <c r="G204" i="3"/>
  <c r="D204" i="3"/>
  <c r="E204" i="3" s="1"/>
  <c r="J204" i="3" s="1"/>
  <c r="C205" i="3" s="1"/>
  <c r="I205" i="3" s="1"/>
  <c r="D207" i="1"/>
  <c r="G207" i="1" s="1"/>
  <c r="I207" i="1" s="1"/>
  <c r="G205" i="3" l="1"/>
  <c r="F205" i="3"/>
  <c r="D205" i="3"/>
  <c r="E205" i="3" s="1"/>
  <c r="J205" i="3" s="1"/>
  <c r="C206" i="3" s="1"/>
  <c r="G206" i="3" s="1"/>
  <c r="E207" i="1"/>
  <c r="J207" i="1" s="1"/>
  <c r="C208" i="1" s="1"/>
  <c r="F206" i="3" l="1"/>
  <c r="D206" i="3"/>
  <c r="E206" i="3" s="1"/>
  <c r="I206" i="3"/>
  <c r="D208" i="1"/>
  <c r="G208" i="1" s="1"/>
  <c r="I208" i="1" s="1"/>
  <c r="J206" i="3" l="1"/>
  <c r="C207" i="3" s="1"/>
  <c r="D207" i="3" s="1"/>
  <c r="E207" i="3" s="1"/>
  <c r="E208" i="1"/>
  <c r="J208" i="1" s="1"/>
  <c r="C209" i="1" s="1"/>
  <c r="G207" i="3" l="1"/>
  <c r="I207" i="3"/>
  <c r="J207" i="3" s="1"/>
  <c r="C208" i="3" s="1"/>
  <c r="I208" i="3" s="1"/>
  <c r="F207" i="3"/>
  <c r="F208" i="3"/>
  <c r="D209" i="1"/>
  <c r="G209" i="1" s="1"/>
  <c r="I209" i="1" s="1"/>
  <c r="D208" i="3" l="1"/>
  <c r="E208" i="3" s="1"/>
  <c r="J208" i="3" s="1"/>
  <c r="C209" i="3" s="1"/>
  <c r="G208" i="3"/>
  <c r="E209" i="1"/>
  <c r="J209" i="1" s="1"/>
  <c r="C210" i="1" s="1"/>
  <c r="G209" i="3" l="1"/>
  <c r="F209" i="3"/>
  <c r="I209" i="3"/>
  <c r="D209" i="3"/>
  <c r="E209" i="3" s="1"/>
  <c r="D210" i="1"/>
  <c r="G210" i="1" s="1"/>
  <c r="I210" i="1" s="1"/>
  <c r="J209" i="3" l="1"/>
  <c r="C210" i="3" s="1"/>
  <c r="F210" i="3" s="1"/>
  <c r="E210" i="1"/>
  <c r="J210" i="1" s="1"/>
  <c r="C211" i="1" s="1"/>
  <c r="I210" i="3" l="1"/>
  <c r="D210" i="3"/>
  <c r="E210" i="3" s="1"/>
  <c r="G210" i="3"/>
  <c r="D211" i="1"/>
  <c r="G211" i="1" s="1"/>
  <c r="I211" i="1" s="1"/>
  <c r="J210" i="3" l="1"/>
  <c r="C211" i="3" s="1"/>
  <c r="G211" i="3" s="1"/>
  <c r="E211" i="1"/>
  <c r="J211" i="1" s="1"/>
  <c r="C212" i="1" s="1"/>
  <c r="F211" i="3" l="1"/>
  <c r="I211" i="3"/>
  <c r="D211" i="3"/>
  <c r="E211" i="3" s="1"/>
  <c r="D212" i="1"/>
  <c r="G212" i="1" s="1"/>
  <c r="I212" i="1" s="1"/>
  <c r="J211" i="3" l="1"/>
  <c r="C212" i="3" s="1"/>
  <c r="F212" i="3" s="1"/>
  <c r="E212" i="1"/>
  <c r="J212" i="1" s="1"/>
  <c r="C213" i="1" s="1"/>
  <c r="G212" i="3" l="1"/>
  <c r="D212" i="3"/>
  <c r="E212" i="3" s="1"/>
  <c r="I212" i="3"/>
  <c r="D213" i="1"/>
  <c r="G213" i="1" s="1"/>
  <c r="I213" i="1" s="1"/>
  <c r="J212" i="3" l="1"/>
  <c r="C213" i="3" s="1"/>
  <c r="F213" i="3" s="1"/>
  <c r="E213" i="1"/>
  <c r="J213" i="1" s="1"/>
  <c r="C214" i="1" s="1"/>
  <c r="G213" i="3" l="1"/>
  <c r="D213" i="3"/>
  <c r="E213" i="3" s="1"/>
  <c r="I213" i="3"/>
  <c r="D214" i="1"/>
  <c r="G214" i="1" s="1"/>
  <c r="I214" i="1" s="1"/>
  <c r="J213" i="3" l="1"/>
  <c r="C214" i="3" s="1"/>
  <c r="I214" i="3" s="1"/>
  <c r="E214" i="1"/>
  <c r="J214" i="1" s="1"/>
  <c r="C215" i="1" s="1"/>
  <c r="F214" i="3" l="1"/>
  <c r="G214" i="3"/>
  <c r="D214" i="3"/>
  <c r="E214" i="3" s="1"/>
  <c r="J214" i="3" s="1"/>
  <c r="C215" i="3" s="1"/>
  <c r="I215" i="3" s="1"/>
  <c r="D215" i="1"/>
  <c r="G215" i="1" s="1"/>
  <c r="I215" i="1" s="1"/>
  <c r="F215" i="3" l="1"/>
  <c r="G215" i="3"/>
  <c r="D215" i="3"/>
  <c r="E215" i="3" s="1"/>
  <c r="J215" i="3" s="1"/>
  <c r="C216" i="3" s="1"/>
  <c r="I216" i="3" s="1"/>
  <c r="E215" i="1"/>
  <c r="J215" i="1" s="1"/>
  <c r="C216" i="1" s="1"/>
  <c r="D216" i="3" l="1"/>
  <c r="E216" i="3" s="1"/>
  <c r="J216" i="3" s="1"/>
  <c r="C217" i="3" s="1"/>
  <c r="D217" i="3" s="1"/>
  <c r="E217" i="3" s="1"/>
  <c r="G216" i="3"/>
  <c r="F216" i="3"/>
  <c r="D216" i="1"/>
  <c r="G216" i="1" s="1"/>
  <c r="I216" i="1" s="1"/>
  <c r="G217" i="3" l="1"/>
  <c r="I217" i="3"/>
  <c r="J217" i="3" s="1"/>
  <c r="C218" i="3" s="1"/>
  <c r="G218" i="3" s="1"/>
  <c r="F217" i="3"/>
  <c r="E216" i="1"/>
  <c r="J216" i="1" s="1"/>
  <c r="C217" i="1" s="1"/>
  <c r="I218" i="3" l="1"/>
  <c r="F218" i="3"/>
  <c r="D218" i="3"/>
  <c r="E218" i="3" s="1"/>
  <c r="D217" i="1"/>
  <c r="G217" i="1" s="1"/>
  <c r="I217" i="1" s="1"/>
  <c r="J218" i="3" l="1"/>
  <c r="C219" i="3" s="1"/>
  <c r="F219" i="3" s="1"/>
  <c r="E217" i="1"/>
  <c r="J217" i="1" s="1"/>
  <c r="C218" i="1" s="1"/>
  <c r="I219" i="3" l="1"/>
  <c r="D219" i="3"/>
  <c r="E219" i="3" s="1"/>
  <c r="G219" i="3"/>
  <c r="D218" i="1"/>
  <c r="G218" i="1" s="1"/>
  <c r="I218" i="1" s="1"/>
  <c r="J219" i="3" l="1"/>
  <c r="C220" i="3" s="1"/>
  <c r="G220" i="3" s="1"/>
  <c r="E218" i="1"/>
  <c r="J218" i="1" s="1"/>
  <c r="C219" i="1" s="1"/>
  <c r="F220" i="3" l="1"/>
  <c r="I220" i="3"/>
  <c r="D220" i="3"/>
  <c r="E220" i="3" s="1"/>
  <c r="J220" i="3" s="1"/>
  <c r="C221" i="3" s="1"/>
  <c r="F221" i="3" s="1"/>
  <c r="D219" i="1"/>
  <c r="G219" i="1" s="1"/>
  <c r="I219" i="1" s="1"/>
  <c r="I221" i="3" l="1"/>
  <c r="D221" i="3"/>
  <c r="E221" i="3" s="1"/>
  <c r="G221" i="3"/>
  <c r="E219" i="1"/>
  <c r="J219" i="1" s="1"/>
  <c r="C220" i="1" s="1"/>
  <c r="J221" i="3" l="1"/>
  <c r="C222" i="3" s="1"/>
  <c r="F222" i="3" s="1"/>
  <c r="D220" i="1"/>
  <c r="G220" i="1" s="1"/>
  <c r="I220" i="1" s="1"/>
  <c r="G222" i="3" l="1"/>
  <c r="D222" i="3"/>
  <c r="E222" i="3" s="1"/>
  <c r="I222" i="3"/>
  <c r="J222" i="3"/>
  <c r="C223" i="3" s="1"/>
  <c r="D223" i="3" s="1"/>
  <c r="E223" i="3" s="1"/>
  <c r="E220" i="1"/>
  <c r="J220" i="1" s="1"/>
  <c r="C221" i="1" s="1"/>
  <c r="D221" i="1" s="1"/>
  <c r="G221" i="1" s="1"/>
  <c r="I221" i="1" s="1"/>
  <c r="F223" i="3" l="1"/>
  <c r="G223" i="3"/>
  <c r="I223" i="3"/>
  <c r="J223" i="3" s="1"/>
  <c r="C224" i="3" s="1"/>
  <c r="I224" i="3" s="1"/>
  <c r="E221" i="1"/>
  <c r="J221" i="1" s="1"/>
  <c r="C222" i="1" s="1"/>
  <c r="F224" i="3" l="1"/>
  <c r="D224" i="3"/>
  <c r="E224" i="3" s="1"/>
  <c r="J224" i="3" s="1"/>
  <c r="C225" i="3" s="1"/>
  <c r="G224" i="3"/>
  <c r="D222" i="1"/>
  <c r="G222" i="1" s="1"/>
  <c r="I222" i="1" s="1"/>
  <c r="D225" i="3" l="1"/>
  <c r="E225" i="3" s="1"/>
  <c r="F225" i="3"/>
  <c r="I225" i="3"/>
  <c r="G225" i="3"/>
  <c r="E222" i="1"/>
  <c r="J222" i="1" s="1"/>
  <c r="C223" i="1" s="1"/>
  <c r="J225" i="3" l="1"/>
  <c r="C226" i="3" s="1"/>
  <c r="I226" i="3" s="1"/>
  <c r="D223" i="1"/>
  <c r="G223" i="1" s="1"/>
  <c r="I223" i="1" s="1"/>
  <c r="D226" i="3" l="1"/>
  <c r="E226" i="3" s="1"/>
  <c r="J226" i="3" s="1"/>
  <c r="C227" i="3" s="1"/>
  <c r="D227" i="3" s="1"/>
  <c r="E227" i="3" s="1"/>
  <c r="F226" i="3"/>
  <c r="G226" i="3"/>
  <c r="E223" i="1"/>
  <c r="J223" i="1" s="1"/>
  <c r="C224" i="1" s="1"/>
  <c r="D224" i="1" s="1"/>
  <c r="G224" i="1" s="1"/>
  <c r="I224" i="1" s="1"/>
  <c r="F227" i="3" l="1"/>
  <c r="G227" i="3"/>
  <c r="I227" i="3"/>
  <c r="J227" i="3" s="1"/>
  <c r="C228" i="3" s="1"/>
  <c r="G228" i="3" s="1"/>
  <c r="E224" i="1"/>
  <c r="J224" i="1" s="1"/>
  <c r="C225" i="1" s="1"/>
  <c r="I228" i="3" l="1"/>
  <c r="D228" i="3"/>
  <c r="E228" i="3" s="1"/>
  <c r="F228" i="3"/>
  <c r="D225" i="1"/>
  <c r="G225" i="1" s="1"/>
  <c r="I225" i="1" s="1"/>
  <c r="J228" i="3" l="1"/>
  <c r="C229" i="3" s="1"/>
  <c r="G229" i="3" s="1"/>
  <c r="E225" i="1"/>
  <c r="J225" i="1" s="1"/>
  <c r="C226" i="1" s="1"/>
  <c r="D226" i="1" s="1"/>
  <c r="D229" i="3" l="1"/>
  <c r="E229" i="3" s="1"/>
  <c r="I229" i="3"/>
  <c r="F229" i="3"/>
  <c r="G226" i="1"/>
  <c r="I226" i="1" s="1"/>
  <c r="E226" i="1"/>
  <c r="J229" i="3" l="1"/>
  <c r="C230" i="3" s="1"/>
  <c r="D230" i="3" s="1"/>
  <c r="E230" i="3" s="1"/>
  <c r="J226" i="1"/>
  <c r="C227" i="1" s="1"/>
  <c r="D227" i="1" s="1"/>
  <c r="G227" i="1" s="1"/>
  <c r="I227" i="1" s="1"/>
  <c r="G230" i="3" l="1"/>
  <c r="I230" i="3"/>
  <c r="J230" i="3" s="1"/>
  <c r="C231" i="3" s="1"/>
  <c r="F231" i="3" s="1"/>
  <c r="F230" i="3"/>
  <c r="E227" i="1"/>
  <c r="J227" i="1" s="1"/>
  <c r="C228" i="1" s="1"/>
  <c r="G231" i="3" l="1"/>
  <c r="D231" i="3"/>
  <c r="E231" i="3" s="1"/>
  <c r="I231" i="3"/>
  <c r="D228" i="1"/>
  <c r="G228" i="1" s="1"/>
  <c r="I228" i="1" s="1"/>
  <c r="J231" i="3" l="1"/>
  <c r="C232" i="3" s="1"/>
  <c r="I232" i="3" s="1"/>
  <c r="E228" i="1"/>
  <c r="J228" i="1" s="1"/>
  <c r="C229" i="1" s="1"/>
  <c r="D229" i="1" s="1"/>
  <c r="G229" i="1" s="1"/>
  <c r="I229" i="1" s="1"/>
  <c r="F232" i="3" l="1"/>
  <c r="G232" i="3"/>
  <c r="D232" i="3"/>
  <c r="E232" i="3" s="1"/>
  <c r="J232" i="3" s="1"/>
  <c r="C233" i="3" s="1"/>
  <c r="F233" i="3" s="1"/>
  <c r="E229" i="1"/>
  <c r="J229" i="1" s="1"/>
  <c r="C230" i="1" s="1"/>
  <c r="I233" i="3" l="1"/>
  <c r="D233" i="3"/>
  <c r="E233" i="3" s="1"/>
  <c r="G233" i="3"/>
  <c r="D230" i="1"/>
  <c r="G230" i="1" s="1"/>
  <c r="I230" i="1" s="1"/>
  <c r="J233" i="3" l="1"/>
  <c r="C234" i="3" s="1"/>
  <c r="F234" i="3" s="1"/>
  <c r="E230" i="1"/>
  <c r="J230" i="1" s="1"/>
  <c r="C231" i="1" s="1"/>
  <c r="G234" i="3" l="1"/>
  <c r="D234" i="3"/>
  <c r="E234" i="3" s="1"/>
  <c r="I234" i="3"/>
  <c r="D231" i="1"/>
  <c r="G231" i="1" s="1"/>
  <c r="I231" i="1" s="1"/>
  <c r="J234" i="3" l="1"/>
  <c r="C235" i="3" s="1"/>
  <c r="E231" i="1"/>
  <c r="J231" i="1" s="1"/>
  <c r="C232" i="1" s="1"/>
  <c r="D232" i="1" s="1"/>
  <c r="G232" i="1" s="1"/>
  <c r="I232" i="1" s="1"/>
  <c r="D235" i="3" l="1"/>
  <c r="E235" i="3" s="1"/>
  <c r="G235" i="3"/>
  <c r="I235" i="3"/>
  <c r="F235" i="3"/>
  <c r="E232" i="1"/>
  <c r="J232" i="1" s="1"/>
  <c r="C233" i="1" s="1"/>
  <c r="J235" i="3" l="1"/>
  <c r="C236" i="3" s="1"/>
  <c r="D236" i="3" s="1"/>
  <c r="E236" i="3" s="1"/>
  <c r="D233" i="1"/>
  <c r="G233" i="1" s="1"/>
  <c r="I233" i="1" s="1"/>
  <c r="I236" i="3" l="1"/>
  <c r="J236" i="3" s="1"/>
  <c r="C237" i="3" s="1"/>
  <c r="F236" i="3"/>
  <c r="G236" i="3"/>
  <c r="E233" i="1"/>
  <c r="J233" i="1" s="1"/>
  <c r="C234" i="1" s="1"/>
  <c r="D237" i="3" l="1"/>
  <c r="E237" i="3" s="1"/>
  <c r="I237" i="3"/>
  <c r="G237" i="3"/>
  <c r="F237" i="3"/>
  <c r="D234" i="1"/>
  <c r="G234" i="1" s="1"/>
  <c r="I234" i="1" s="1"/>
  <c r="J237" i="3" l="1"/>
  <c r="C238" i="3" s="1"/>
  <c r="I238" i="3" s="1"/>
  <c r="E234" i="1"/>
  <c r="J234" i="1" s="1"/>
  <c r="C235" i="1" s="1"/>
  <c r="F238" i="3" l="1"/>
  <c r="D238" i="3"/>
  <c r="E238" i="3" s="1"/>
  <c r="J238" i="3" s="1"/>
  <c r="C239" i="3" s="1"/>
  <c r="I239" i="3" s="1"/>
  <c r="G238" i="3"/>
  <c r="D235" i="1"/>
  <c r="G235" i="1" s="1"/>
  <c r="I235" i="1" s="1"/>
  <c r="D239" i="3" l="1"/>
  <c r="E239" i="3" s="1"/>
  <c r="J239" i="3" s="1"/>
  <c r="C240" i="3" s="1"/>
  <c r="I240" i="3" s="1"/>
  <c r="G239" i="3"/>
  <c r="F239" i="3"/>
  <c r="E235" i="1"/>
  <c r="J235" i="1" s="1"/>
  <c r="C236" i="1" s="1"/>
  <c r="G240" i="3" l="1"/>
  <c r="D240" i="3"/>
  <c r="E240" i="3" s="1"/>
  <c r="J240" i="3" s="1"/>
  <c r="C241" i="3" s="1"/>
  <c r="D241" i="3" s="1"/>
  <c r="E241" i="3" s="1"/>
  <c r="F240" i="3"/>
  <c r="D236" i="1"/>
  <c r="G236" i="1" s="1"/>
  <c r="I236" i="1" s="1"/>
  <c r="I241" i="3" l="1"/>
  <c r="J241" i="3" s="1"/>
  <c r="C242" i="3" s="1"/>
  <c r="D242" i="3" s="1"/>
  <c r="E242" i="3" s="1"/>
  <c r="G241" i="3"/>
  <c r="F241" i="3"/>
  <c r="E236" i="1"/>
  <c r="J236" i="1" s="1"/>
  <c r="C237" i="1" s="1"/>
  <c r="G242" i="3" l="1"/>
  <c r="F242" i="3"/>
  <c r="I242" i="3"/>
  <c r="J242" i="3" s="1"/>
  <c r="C243" i="3" s="1"/>
  <c r="F243" i="3" s="1"/>
  <c r="D237" i="1"/>
  <c r="G237" i="1" s="1"/>
  <c r="I237" i="1" s="1"/>
  <c r="D243" i="3" l="1"/>
  <c r="E243" i="3" s="1"/>
  <c r="I243" i="3"/>
  <c r="G243" i="3"/>
  <c r="E237" i="1"/>
  <c r="J237" i="1" s="1"/>
  <c r="C238" i="1" s="1"/>
  <c r="J243" i="3" l="1"/>
  <c r="C244" i="3" s="1"/>
  <c r="F244" i="3" s="1"/>
  <c r="D238" i="1"/>
  <c r="G238" i="1" s="1"/>
  <c r="I238" i="1" s="1"/>
  <c r="G244" i="3" l="1"/>
  <c r="I244" i="3"/>
  <c r="D244" i="3"/>
  <c r="E244" i="3" s="1"/>
  <c r="J244" i="3" s="1"/>
  <c r="C245" i="3" s="1"/>
  <c r="E238" i="1"/>
  <c r="J238" i="1" s="1"/>
  <c r="C239" i="1" s="1"/>
  <c r="D245" i="3" l="1"/>
  <c r="E245" i="3" s="1"/>
  <c r="F245" i="3"/>
  <c r="I245" i="3"/>
  <c r="G245" i="3"/>
  <c r="D239" i="1"/>
  <c r="G239" i="1" s="1"/>
  <c r="I239" i="1" s="1"/>
  <c r="J245" i="3" l="1"/>
  <c r="C246" i="3" s="1"/>
  <c r="E239" i="1"/>
  <c r="J239" i="1" s="1"/>
  <c r="C240" i="1" s="1"/>
  <c r="D246" i="3" l="1"/>
  <c r="E246" i="3" s="1"/>
  <c r="I246" i="3"/>
  <c r="G246" i="3"/>
  <c r="F246" i="3"/>
  <c r="D240" i="1"/>
  <c r="G240" i="1" s="1"/>
  <c r="I240" i="1" s="1"/>
  <c r="J246" i="3" l="1"/>
  <c r="C247" i="3" s="1"/>
  <c r="F247" i="3" s="1"/>
  <c r="E240" i="1"/>
  <c r="J240" i="1" s="1"/>
  <c r="C241" i="1" s="1"/>
  <c r="G247" i="3" l="1"/>
  <c r="I247" i="3"/>
  <c r="D247" i="3"/>
  <c r="E247" i="3" s="1"/>
  <c r="D241" i="1"/>
  <c r="G241" i="1" s="1"/>
  <c r="I241" i="1" s="1"/>
  <c r="J247" i="3" l="1"/>
  <c r="C248" i="3" s="1"/>
  <c r="G248" i="3" s="1"/>
  <c r="E241" i="1"/>
  <c r="J241" i="1" s="1"/>
  <c r="C242" i="1" s="1"/>
  <c r="F248" i="3" l="1"/>
  <c r="I248" i="3"/>
  <c r="D248" i="3"/>
  <c r="E248" i="3" s="1"/>
  <c r="J248" i="3" s="1"/>
  <c r="C249" i="3" s="1"/>
  <c r="D242" i="1"/>
  <c r="G242" i="1" s="1"/>
  <c r="I242" i="1" s="1"/>
  <c r="F249" i="3" l="1"/>
  <c r="G249" i="3"/>
  <c r="D249" i="3"/>
  <c r="E249" i="3" s="1"/>
  <c r="I249" i="3"/>
  <c r="E242" i="1"/>
  <c r="J242" i="1" s="1"/>
  <c r="C243" i="1" s="1"/>
  <c r="J249" i="3" l="1"/>
  <c r="C250" i="3" s="1"/>
  <c r="D243" i="1"/>
  <c r="G243" i="1" s="1"/>
  <c r="I243" i="1" s="1"/>
  <c r="D250" i="3" l="1"/>
  <c r="E250" i="3" s="1"/>
  <c r="I250" i="3"/>
  <c r="F250" i="3"/>
  <c r="G250" i="3"/>
  <c r="E243" i="1"/>
  <c r="J243" i="1" s="1"/>
  <c r="C244" i="1" s="1"/>
  <c r="J250" i="3" l="1"/>
  <c r="C251" i="3" s="1"/>
  <c r="F251" i="3" s="1"/>
  <c r="D244" i="1"/>
  <c r="G244" i="1" s="1"/>
  <c r="I244" i="1" s="1"/>
  <c r="G251" i="3" l="1"/>
  <c r="I251" i="3"/>
  <c r="D251" i="3"/>
  <c r="E251" i="3" s="1"/>
  <c r="J251" i="3"/>
  <c r="C252" i="3" s="1"/>
  <c r="E244" i="1"/>
  <c r="J244" i="1" s="1"/>
  <c r="C245" i="1" s="1"/>
  <c r="G252" i="3" l="1"/>
  <c r="I252" i="3"/>
  <c r="F252" i="3"/>
  <c r="D252" i="3"/>
  <c r="E252" i="3" s="1"/>
  <c r="D245" i="1"/>
  <c r="G245" i="1" s="1"/>
  <c r="I245" i="1" s="1"/>
  <c r="J252" i="3" l="1"/>
  <c r="C253" i="3" s="1"/>
  <c r="F253" i="3" s="1"/>
  <c r="E245" i="1"/>
  <c r="J245" i="1" s="1"/>
  <c r="C246" i="1" s="1"/>
  <c r="D253" i="3" l="1"/>
  <c r="E253" i="3" s="1"/>
  <c r="I253" i="3"/>
  <c r="G253" i="3"/>
  <c r="D246" i="1"/>
  <c r="G246" i="1" s="1"/>
  <c r="I246" i="1" s="1"/>
  <c r="J253" i="3" l="1"/>
  <c r="C254" i="3" s="1"/>
  <c r="G254" i="3" s="1"/>
  <c r="I254" i="3"/>
  <c r="E246" i="1"/>
  <c r="J246" i="1" s="1"/>
  <c r="C247" i="1" s="1"/>
  <c r="F254" i="3" l="1"/>
  <c r="D254" i="3"/>
  <c r="E254" i="3" s="1"/>
  <c r="J254" i="3" s="1"/>
  <c r="C255" i="3" s="1"/>
  <c r="D247" i="1"/>
  <c r="G247" i="1" s="1"/>
  <c r="I247" i="1" s="1"/>
  <c r="I255" i="3" l="1"/>
  <c r="G255" i="3"/>
  <c r="D255" i="3"/>
  <c r="E255" i="3" s="1"/>
  <c r="J255" i="3" s="1"/>
  <c r="C256" i="3" s="1"/>
  <c r="F255" i="3"/>
  <c r="E247" i="1"/>
  <c r="J247" i="1" s="1"/>
  <c r="C248" i="1" s="1"/>
  <c r="D248" i="1" s="1"/>
  <c r="G248" i="1" s="1"/>
  <c r="I248" i="1" s="1"/>
  <c r="I256" i="3" l="1"/>
  <c r="G256" i="3"/>
  <c r="D256" i="3"/>
  <c r="E256" i="3" s="1"/>
  <c r="F256" i="3"/>
  <c r="E248" i="1"/>
  <c r="J248" i="1" s="1"/>
  <c r="C249" i="1" s="1"/>
  <c r="J256" i="3" l="1"/>
  <c r="C257" i="3" s="1"/>
  <c r="D249" i="1"/>
  <c r="G249" i="1" s="1"/>
  <c r="I249" i="1" s="1"/>
  <c r="D257" i="3" l="1"/>
  <c r="E257" i="3" s="1"/>
  <c r="G257" i="3"/>
  <c r="F257" i="3"/>
  <c r="I257" i="3"/>
  <c r="E249" i="1"/>
  <c r="J249" i="1" s="1"/>
  <c r="C250" i="1" s="1"/>
  <c r="J257" i="3" l="1"/>
  <c r="C258" i="3" s="1"/>
  <c r="D250" i="1"/>
  <c r="G250" i="1" s="1"/>
  <c r="I250" i="1" s="1"/>
  <c r="I258" i="3" l="1"/>
  <c r="D258" i="3"/>
  <c r="E258" i="3" s="1"/>
  <c r="J258" i="3" s="1"/>
  <c r="C259" i="3" s="1"/>
  <c r="F258" i="3"/>
  <c r="G258" i="3"/>
  <c r="E250" i="1"/>
  <c r="J250" i="1" s="1"/>
  <c r="C251" i="1" s="1"/>
  <c r="F259" i="3" l="1"/>
  <c r="D259" i="3"/>
  <c r="E259" i="3" s="1"/>
  <c r="I259" i="3"/>
  <c r="G259" i="3"/>
  <c r="D251" i="1"/>
  <c r="G251" i="1" s="1"/>
  <c r="I251" i="1" s="1"/>
  <c r="J259" i="3" l="1"/>
  <c r="C260" i="3" s="1"/>
  <c r="D260" i="3" s="1"/>
  <c r="E260" i="3" s="1"/>
  <c r="E251" i="1"/>
  <c r="J251" i="1" s="1"/>
  <c r="C252" i="1" s="1"/>
  <c r="F260" i="3" l="1"/>
  <c r="G260" i="3"/>
  <c r="I260" i="3"/>
  <c r="J260" i="3" s="1"/>
  <c r="C261" i="3" s="1"/>
  <c r="D252" i="1"/>
  <c r="G252" i="1" s="1"/>
  <c r="I252" i="1" s="1"/>
  <c r="G261" i="3" l="1"/>
  <c r="F261" i="3"/>
  <c r="I261" i="3"/>
  <c r="D261" i="3"/>
  <c r="E261" i="3" s="1"/>
  <c r="E252" i="1"/>
  <c r="J252" i="1" s="1"/>
  <c r="C253" i="1" s="1"/>
  <c r="J261" i="3" l="1"/>
  <c r="C262" i="3" s="1"/>
  <c r="D262" i="3" s="1"/>
  <c r="E262" i="3" s="1"/>
  <c r="D253" i="1"/>
  <c r="G253" i="1" s="1"/>
  <c r="I253" i="1" s="1"/>
  <c r="G262" i="3" l="1"/>
  <c r="F262" i="3"/>
  <c r="I262" i="3"/>
  <c r="J262" i="3" s="1"/>
  <c r="C263" i="3" s="1"/>
  <c r="E253" i="1"/>
  <c r="J253" i="1" s="1"/>
  <c r="C254" i="1" s="1"/>
  <c r="D254" i="1" s="1"/>
  <c r="G254" i="1" s="1"/>
  <c r="I254" i="1" s="1"/>
  <c r="F263" i="3" l="1"/>
  <c r="D263" i="3"/>
  <c r="E263" i="3" s="1"/>
  <c r="I263" i="3"/>
  <c r="G263" i="3"/>
  <c r="E254" i="1"/>
  <c r="J254" i="1" s="1"/>
  <c r="C255" i="1" s="1"/>
  <c r="J263" i="3" l="1"/>
  <c r="C264" i="3" s="1"/>
  <c r="G264" i="3" s="1"/>
  <c r="D255" i="1"/>
  <c r="G255" i="1" s="1"/>
  <c r="I255" i="1" s="1"/>
  <c r="F264" i="3" l="1"/>
  <c r="D264" i="3"/>
  <c r="E264" i="3" s="1"/>
  <c r="I264" i="3"/>
  <c r="E255" i="1"/>
  <c r="J255" i="1" s="1"/>
  <c r="C256" i="1" s="1"/>
  <c r="J264" i="3" l="1"/>
  <c r="C265" i="3" s="1"/>
  <c r="D265" i="3" s="1"/>
  <c r="E265" i="3" s="1"/>
  <c r="D256" i="1"/>
  <c r="G256" i="1" s="1"/>
  <c r="I256" i="1" s="1"/>
  <c r="F265" i="3" l="1"/>
  <c r="I265" i="3"/>
  <c r="J265" i="3" s="1"/>
  <c r="C266" i="3" s="1"/>
  <c r="F266" i="3" s="1"/>
  <c r="G265" i="3"/>
  <c r="E256" i="1"/>
  <c r="J256" i="1" s="1"/>
  <c r="C257" i="1" s="1"/>
  <c r="G266" i="3" l="1"/>
  <c r="D266" i="3"/>
  <c r="E266" i="3" s="1"/>
  <c r="I266" i="3"/>
  <c r="D257" i="1"/>
  <c r="G257" i="1" s="1"/>
  <c r="I257" i="1" s="1"/>
  <c r="J266" i="3" l="1"/>
  <c r="C267" i="3" s="1"/>
  <c r="G267" i="3" s="1"/>
  <c r="D267" i="3"/>
  <c r="E267" i="3" s="1"/>
  <c r="I267" i="3"/>
  <c r="F267" i="3"/>
  <c r="E257" i="1"/>
  <c r="J257" i="1" s="1"/>
  <c r="C258" i="1" s="1"/>
  <c r="J267" i="3" l="1"/>
  <c r="C268" i="3" s="1"/>
  <c r="I268" i="3" s="1"/>
  <c r="D258" i="1"/>
  <c r="G258" i="1" s="1"/>
  <c r="I258" i="1" s="1"/>
  <c r="D268" i="3" l="1"/>
  <c r="E268" i="3" s="1"/>
  <c r="G268" i="3"/>
  <c r="F268" i="3"/>
  <c r="J268" i="3"/>
  <c r="C269" i="3" s="1"/>
  <c r="E258" i="1"/>
  <c r="J258" i="1" s="1"/>
  <c r="C259" i="1" s="1"/>
  <c r="G269" i="3" l="1"/>
  <c r="I269" i="3"/>
  <c r="F269" i="3"/>
  <c r="D269" i="3"/>
  <c r="E269" i="3" s="1"/>
  <c r="D259" i="1"/>
  <c r="G259" i="1" s="1"/>
  <c r="I259" i="1" s="1"/>
  <c r="J269" i="3" l="1"/>
  <c r="C270" i="3" s="1"/>
  <c r="D270" i="3" s="1"/>
  <c r="E270" i="3" s="1"/>
  <c r="E259" i="1"/>
  <c r="J259" i="1" s="1"/>
  <c r="C260" i="1" s="1"/>
  <c r="G270" i="3" l="1"/>
  <c r="I270" i="3"/>
  <c r="J270" i="3" s="1"/>
  <c r="C271" i="3" s="1"/>
  <c r="F270" i="3"/>
  <c r="D260" i="1"/>
  <c r="G260" i="1" s="1"/>
  <c r="I260" i="1" s="1"/>
  <c r="I271" i="3" l="1"/>
  <c r="G271" i="3"/>
  <c r="F271" i="3"/>
  <c r="D271" i="3"/>
  <c r="E271" i="3" s="1"/>
  <c r="E260" i="1"/>
  <c r="J260" i="1" s="1"/>
  <c r="C261" i="1" s="1"/>
  <c r="J271" i="3" l="1"/>
  <c r="C272" i="3" s="1"/>
  <c r="G272" i="3" s="1"/>
  <c r="D261" i="1"/>
  <c r="G261" i="1" s="1"/>
  <c r="I261" i="1" s="1"/>
  <c r="F272" i="3" l="1"/>
  <c r="I272" i="3"/>
  <c r="D272" i="3"/>
  <c r="E272" i="3" s="1"/>
  <c r="E261" i="1"/>
  <c r="J261" i="1" s="1"/>
  <c r="C262" i="1" s="1"/>
  <c r="J272" i="3" l="1"/>
  <c r="C273" i="3" s="1"/>
  <c r="G273" i="3" s="1"/>
  <c r="D262" i="1"/>
  <c r="G262" i="1" s="1"/>
  <c r="I262" i="1" s="1"/>
  <c r="F273" i="3" l="1"/>
  <c r="I273" i="3"/>
  <c r="D273" i="3"/>
  <c r="E273" i="3" s="1"/>
  <c r="E262" i="1"/>
  <c r="J262" i="1" s="1"/>
  <c r="C263" i="1" s="1"/>
  <c r="J273" i="3" l="1"/>
  <c r="C274" i="3" s="1"/>
  <c r="F274" i="3" s="1"/>
  <c r="I274" i="3"/>
  <c r="D263" i="1"/>
  <c r="G263" i="1" s="1"/>
  <c r="I263" i="1" s="1"/>
  <c r="G274" i="3" l="1"/>
  <c r="D274" i="3"/>
  <c r="E274" i="3" s="1"/>
  <c r="J274" i="3"/>
  <c r="C275" i="3" s="1"/>
  <c r="G275" i="3" s="1"/>
  <c r="E263" i="1"/>
  <c r="J263" i="1" s="1"/>
  <c r="C264" i="1" s="1"/>
  <c r="D275" i="3" l="1"/>
  <c r="E275" i="3" s="1"/>
  <c r="I275" i="3"/>
  <c r="F275" i="3"/>
  <c r="D264" i="1"/>
  <c r="G264" i="1" s="1"/>
  <c r="I264" i="1" s="1"/>
  <c r="J275" i="3" l="1"/>
  <c r="C276" i="3" s="1"/>
  <c r="D276" i="3"/>
  <c r="E276" i="3" s="1"/>
  <c r="I276" i="3"/>
  <c r="G276" i="3"/>
  <c r="F276" i="3"/>
  <c r="E264" i="1"/>
  <c r="J264" i="1" s="1"/>
  <c r="C265" i="1" s="1"/>
  <c r="J276" i="3" l="1"/>
  <c r="C277" i="3" s="1"/>
  <c r="D265" i="1"/>
  <c r="G265" i="1" s="1"/>
  <c r="I265" i="1" s="1"/>
  <c r="G277" i="3" l="1"/>
  <c r="D277" i="3"/>
  <c r="E277" i="3" s="1"/>
  <c r="I277" i="3"/>
  <c r="F277" i="3"/>
  <c r="E265" i="1"/>
  <c r="J265" i="1" s="1"/>
  <c r="C266" i="1" s="1"/>
  <c r="J277" i="3" l="1"/>
  <c r="C278" i="3" s="1"/>
  <c r="D266" i="1"/>
  <c r="G266" i="1" s="1"/>
  <c r="I266" i="1" s="1"/>
  <c r="G278" i="3" l="1"/>
  <c r="F278" i="3"/>
  <c r="I278" i="3"/>
  <c r="D278" i="3"/>
  <c r="E278" i="3" s="1"/>
  <c r="E266" i="1"/>
  <c r="J266" i="1" s="1"/>
  <c r="C267" i="1" s="1"/>
  <c r="J278" i="3" l="1"/>
  <c r="C279" i="3" s="1"/>
  <c r="D267" i="1"/>
  <c r="G267" i="1" s="1"/>
  <c r="I267" i="1" s="1"/>
  <c r="G279" i="3" l="1"/>
  <c r="D279" i="3"/>
  <c r="E279" i="3" s="1"/>
  <c r="I279" i="3"/>
  <c r="F279" i="3"/>
  <c r="E267" i="1"/>
  <c r="J267" i="1" s="1"/>
  <c r="C268" i="1" s="1"/>
  <c r="J279" i="3" l="1"/>
  <c r="C280" i="3" s="1"/>
  <c r="I280" i="3" s="1"/>
  <c r="D268" i="1"/>
  <c r="G268" i="1" s="1"/>
  <c r="I268" i="1" s="1"/>
  <c r="F280" i="3" l="1"/>
  <c r="D280" i="3"/>
  <c r="E280" i="3" s="1"/>
  <c r="J280" i="3" s="1"/>
  <c r="C281" i="3" s="1"/>
  <c r="D281" i="3" s="1"/>
  <c r="E281" i="3" s="1"/>
  <c r="G280" i="3"/>
  <c r="E268" i="1"/>
  <c r="J268" i="1" s="1"/>
  <c r="C269" i="1" s="1"/>
  <c r="F281" i="3" l="1"/>
  <c r="I281" i="3"/>
  <c r="J281" i="3" s="1"/>
  <c r="C282" i="3" s="1"/>
  <c r="G281" i="3"/>
  <c r="D269" i="1"/>
  <c r="G269" i="1" s="1"/>
  <c r="I269" i="1" s="1"/>
  <c r="D282" i="3" l="1"/>
  <c r="E282" i="3" s="1"/>
  <c r="G282" i="3"/>
  <c r="F282" i="3"/>
  <c r="I282" i="3"/>
  <c r="E269" i="1"/>
  <c r="J269" i="1" s="1"/>
  <c r="C270" i="1" s="1"/>
  <c r="J282" i="3" l="1"/>
  <c r="C283" i="3" s="1"/>
  <c r="D270" i="1"/>
  <c r="G270" i="1" s="1"/>
  <c r="I270" i="1" s="1"/>
  <c r="G283" i="3" l="1"/>
  <c r="I283" i="3"/>
  <c r="D283" i="3"/>
  <c r="E283" i="3" s="1"/>
  <c r="F283" i="3"/>
  <c r="E270" i="1"/>
  <c r="J270" i="1" s="1"/>
  <c r="C271" i="1" s="1"/>
  <c r="J283" i="3" l="1"/>
  <c r="C284" i="3" s="1"/>
  <c r="D271" i="1"/>
  <c r="G271" i="1" s="1"/>
  <c r="I271" i="1" s="1"/>
  <c r="F284" i="3" l="1"/>
  <c r="I284" i="3"/>
  <c r="D284" i="3"/>
  <c r="E284" i="3" s="1"/>
  <c r="G284" i="3"/>
  <c r="E271" i="1"/>
  <c r="J271" i="1" s="1"/>
  <c r="C272" i="1" s="1"/>
  <c r="J284" i="3" l="1"/>
  <c r="C285" i="3" s="1"/>
  <c r="D272" i="1"/>
  <c r="G272" i="1" s="1"/>
  <c r="I272" i="1" s="1"/>
  <c r="F285" i="3" l="1"/>
  <c r="I285" i="3"/>
  <c r="D285" i="3"/>
  <c r="E285" i="3" s="1"/>
  <c r="G285" i="3"/>
  <c r="E272" i="1"/>
  <c r="J272" i="1" s="1"/>
  <c r="C273" i="1" s="1"/>
  <c r="J285" i="3" l="1"/>
  <c r="C286" i="3" s="1"/>
  <c r="I286" i="3" s="1"/>
  <c r="D273" i="1"/>
  <c r="G273" i="1" s="1"/>
  <c r="I273" i="1" s="1"/>
  <c r="D286" i="3" l="1"/>
  <c r="E286" i="3" s="1"/>
  <c r="J286" i="3" s="1"/>
  <c r="C287" i="3" s="1"/>
  <c r="F286" i="3"/>
  <c r="G286" i="3"/>
  <c r="E273" i="1"/>
  <c r="J273" i="1" s="1"/>
  <c r="C274" i="1" s="1"/>
  <c r="D287" i="3" l="1"/>
  <c r="E287" i="3" s="1"/>
  <c r="I287" i="3"/>
  <c r="G287" i="3"/>
  <c r="F287" i="3"/>
  <c r="D274" i="1"/>
  <c r="G274" i="1" s="1"/>
  <c r="I274" i="1" s="1"/>
  <c r="J287" i="3" l="1"/>
  <c r="C288" i="3" s="1"/>
  <c r="E274" i="1"/>
  <c r="J274" i="1" s="1"/>
  <c r="C275" i="1" s="1"/>
  <c r="F288" i="3" l="1"/>
  <c r="I288" i="3"/>
  <c r="G288" i="3"/>
  <c r="D288" i="3"/>
  <c r="E288" i="3" s="1"/>
  <c r="D275" i="1"/>
  <c r="G275" i="1" s="1"/>
  <c r="I275" i="1" s="1"/>
  <c r="J288" i="3" l="1"/>
  <c r="C289" i="3" s="1"/>
  <c r="D289" i="3" s="1"/>
  <c r="E289" i="3" s="1"/>
  <c r="E275" i="1"/>
  <c r="J275" i="1" s="1"/>
  <c r="C276" i="1" s="1"/>
  <c r="G289" i="3" l="1"/>
  <c r="I289" i="3"/>
  <c r="J289" i="3" s="1"/>
  <c r="C290" i="3" s="1"/>
  <c r="F289" i="3"/>
  <c r="D276" i="1"/>
  <c r="G276" i="1" s="1"/>
  <c r="I276" i="1" s="1"/>
  <c r="I290" i="3" l="1"/>
  <c r="G290" i="3"/>
  <c r="D290" i="3"/>
  <c r="E290" i="3" s="1"/>
  <c r="F290" i="3"/>
  <c r="E276" i="1"/>
  <c r="J276" i="1" s="1"/>
  <c r="C277" i="1" s="1"/>
  <c r="J290" i="3" l="1"/>
  <c r="C291" i="3" s="1"/>
  <c r="G291" i="3" s="1"/>
  <c r="D277" i="1"/>
  <c r="G277" i="1" s="1"/>
  <c r="I277" i="1" s="1"/>
  <c r="I291" i="3" l="1"/>
  <c r="D291" i="3"/>
  <c r="E291" i="3" s="1"/>
  <c r="F291" i="3"/>
  <c r="E277" i="1"/>
  <c r="J277" i="1" s="1"/>
  <c r="C278" i="1" s="1"/>
  <c r="D278" i="1" s="1"/>
  <c r="G278" i="1" s="1"/>
  <c r="I278" i="1" s="1"/>
  <c r="J291" i="3" l="1"/>
  <c r="C292" i="3" s="1"/>
  <c r="G292" i="3" s="1"/>
  <c r="F292" i="3"/>
  <c r="E278" i="1"/>
  <c r="J278" i="1" s="1"/>
  <c r="C279" i="1" s="1"/>
  <c r="D292" i="3" l="1"/>
  <c r="E292" i="3" s="1"/>
  <c r="I292" i="3"/>
  <c r="D279" i="1"/>
  <c r="G279" i="1" s="1"/>
  <c r="I279" i="1" s="1"/>
  <c r="J292" i="3" l="1"/>
  <c r="C293" i="3" s="1"/>
  <c r="E279" i="1"/>
  <c r="J279" i="1" s="1"/>
  <c r="C280" i="1" s="1"/>
  <c r="D293" i="3" l="1"/>
  <c r="E293" i="3" s="1"/>
  <c r="I293" i="3"/>
  <c r="G293" i="3"/>
  <c r="F293" i="3"/>
  <c r="D280" i="1"/>
  <c r="G280" i="1" s="1"/>
  <c r="I280" i="1" s="1"/>
  <c r="J293" i="3" l="1"/>
  <c r="C294" i="3" s="1"/>
  <c r="E280" i="1"/>
  <c r="J280" i="1" s="1"/>
  <c r="C281" i="1" s="1"/>
  <c r="G294" i="3" l="1"/>
  <c r="D294" i="3"/>
  <c r="E294" i="3" s="1"/>
  <c r="I294" i="3"/>
  <c r="F294" i="3"/>
  <c r="D281" i="1"/>
  <c r="G281" i="1" s="1"/>
  <c r="I281" i="1" s="1"/>
  <c r="J294" i="3" l="1"/>
  <c r="C295" i="3" s="1"/>
  <c r="E281" i="1"/>
  <c r="J281" i="1" s="1"/>
  <c r="C282" i="1" s="1"/>
  <c r="I295" i="3" l="1"/>
  <c r="D295" i="3"/>
  <c r="E295" i="3" s="1"/>
  <c r="J295" i="3" s="1"/>
  <c r="C296" i="3" s="1"/>
  <c r="F296" i="3" s="1"/>
  <c r="G295" i="3"/>
  <c r="F295" i="3"/>
  <c r="G296" i="3"/>
  <c r="D296" i="3"/>
  <c r="E296" i="3" s="1"/>
  <c r="I296" i="3"/>
  <c r="D282" i="1"/>
  <c r="G282" i="1" s="1"/>
  <c r="I282" i="1" s="1"/>
  <c r="J296" i="3" l="1"/>
  <c r="C297" i="3" s="1"/>
  <c r="I297" i="3" s="1"/>
  <c r="E282" i="1"/>
  <c r="J282" i="1" s="1"/>
  <c r="C283" i="1" s="1"/>
  <c r="G297" i="3" l="1"/>
  <c r="F297" i="3"/>
  <c r="D297" i="3"/>
  <c r="E297" i="3" s="1"/>
  <c r="J297" i="3" s="1"/>
  <c r="C298" i="3" s="1"/>
  <c r="I298" i="3" s="1"/>
  <c r="D283" i="1"/>
  <c r="G283" i="1" s="1"/>
  <c r="I283" i="1" s="1"/>
  <c r="D298" i="3" l="1"/>
  <c r="E298" i="3" s="1"/>
  <c r="J298" i="3" s="1"/>
  <c r="C299" i="3" s="1"/>
  <c r="G299" i="3" s="1"/>
  <c r="G298" i="3"/>
  <c r="F298" i="3"/>
  <c r="E283" i="1"/>
  <c r="J283" i="1" s="1"/>
  <c r="C284" i="1" s="1"/>
  <c r="I299" i="3" l="1"/>
  <c r="F299" i="3"/>
  <c r="D299" i="3"/>
  <c r="E299" i="3" s="1"/>
  <c r="D284" i="1"/>
  <c r="G284" i="1" s="1"/>
  <c r="I284" i="1" s="1"/>
  <c r="J299" i="3" l="1"/>
  <c r="C300" i="3" s="1"/>
  <c r="F300" i="3"/>
  <c r="G300" i="3"/>
  <c r="I300" i="3"/>
  <c r="D300" i="3"/>
  <c r="E300" i="3" s="1"/>
  <c r="E284" i="1"/>
  <c r="J284" i="1" s="1"/>
  <c r="C285" i="1" s="1"/>
  <c r="D285" i="1" s="1"/>
  <c r="G285" i="1" s="1"/>
  <c r="I285" i="1" s="1"/>
  <c r="J300" i="3" l="1"/>
  <c r="C301" i="3" s="1"/>
  <c r="I301" i="3" s="1"/>
  <c r="E285" i="1"/>
  <c r="J285" i="1" s="1"/>
  <c r="C286" i="1" s="1"/>
  <c r="D301" i="3" l="1"/>
  <c r="E301" i="3" s="1"/>
  <c r="J301" i="3" s="1"/>
  <c r="C302" i="3" s="1"/>
  <c r="F302" i="3" s="1"/>
  <c r="G301" i="3"/>
  <c r="F301" i="3"/>
  <c r="D286" i="1"/>
  <c r="G286" i="1" s="1"/>
  <c r="I286" i="1" s="1"/>
  <c r="D302" i="3" l="1"/>
  <c r="E302" i="3" s="1"/>
  <c r="G302" i="3"/>
  <c r="I302" i="3"/>
  <c r="E286" i="1"/>
  <c r="J286" i="1" s="1"/>
  <c r="C287" i="1" s="1"/>
  <c r="J302" i="3" l="1"/>
  <c r="C303" i="3" s="1"/>
  <c r="D287" i="1"/>
  <c r="G287" i="1" s="1"/>
  <c r="I287" i="1" s="1"/>
  <c r="D303" i="3" l="1"/>
  <c r="E303" i="3" s="1"/>
  <c r="F303" i="3"/>
  <c r="G303" i="3"/>
  <c r="I303" i="3"/>
  <c r="E287" i="1"/>
  <c r="J287" i="1" s="1"/>
  <c r="C288" i="1" s="1"/>
  <c r="J303" i="3" l="1"/>
  <c r="C304" i="3" s="1"/>
  <c r="D304" i="3" s="1"/>
  <c r="E304" i="3" s="1"/>
  <c r="D288" i="1"/>
  <c r="G288" i="1" s="1"/>
  <c r="I288" i="1" s="1"/>
  <c r="G304" i="3" l="1"/>
  <c r="I304" i="3"/>
  <c r="J304" i="3" s="1"/>
  <c r="C305" i="3" s="1"/>
  <c r="F304" i="3"/>
  <c r="E288" i="1"/>
  <c r="J288" i="1" s="1"/>
  <c r="C289" i="1" s="1"/>
  <c r="F305" i="3" l="1"/>
  <c r="I305" i="3"/>
  <c r="D305" i="3"/>
  <c r="E305" i="3" s="1"/>
  <c r="G305" i="3"/>
  <c r="D289" i="1"/>
  <c r="G289" i="1" s="1"/>
  <c r="I289" i="1" s="1"/>
  <c r="J305" i="3" l="1"/>
  <c r="C306" i="3" s="1"/>
  <c r="E289" i="1"/>
  <c r="J289" i="1" s="1"/>
  <c r="C290" i="1" s="1"/>
  <c r="G306" i="3" l="1"/>
  <c r="D306" i="3"/>
  <c r="E306" i="3" s="1"/>
  <c r="I306" i="3"/>
  <c r="F306" i="3"/>
  <c r="D290" i="1"/>
  <c r="G290" i="1" s="1"/>
  <c r="I290" i="1" s="1"/>
  <c r="J306" i="3" l="1"/>
  <c r="C307" i="3" s="1"/>
  <c r="I307" i="3"/>
  <c r="G307" i="3"/>
  <c r="D307" i="3"/>
  <c r="E307" i="3" s="1"/>
  <c r="F307" i="3"/>
  <c r="E290" i="1"/>
  <c r="J290" i="1" s="1"/>
  <c r="C291" i="1" s="1"/>
  <c r="J307" i="3" l="1"/>
  <c r="C308" i="3" s="1"/>
  <c r="D291" i="1"/>
  <c r="G291" i="1" s="1"/>
  <c r="I291" i="1" s="1"/>
  <c r="G308" i="3" l="1"/>
  <c r="I308" i="3"/>
  <c r="F308" i="3"/>
  <c r="D308" i="3"/>
  <c r="E308" i="3" s="1"/>
  <c r="E291" i="1"/>
  <c r="J291" i="1" s="1"/>
  <c r="C292" i="1" s="1"/>
  <c r="J308" i="3" l="1"/>
  <c r="C309" i="3" s="1"/>
  <c r="D292" i="1"/>
  <c r="G292" i="1" s="1"/>
  <c r="I292" i="1" s="1"/>
  <c r="G309" i="3" l="1"/>
  <c r="D309" i="3"/>
  <c r="E309" i="3" s="1"/>
  <c r="I309" i="3"/>
  <c r="F309" i="3"/>
  <c r="E292" i="1"/>
  <c r="J292" i="1" s="1"/>
  <c r="C293" i="1" s="1"/>
  <c r="J309" i="3" l="1"/>
  <c r="C310" i="3" s="1"/>
  <c r="D310" i="3"/>
  <c r="E310" i="3" s="1"/>
  <c r="F310" i="3"/>
  <c r="I310" i="3"/>
  <c r="G310" i="3"/>
  <c r="D293" i="1"/>
  <c r="G293" i="1" s="1"/>
  <c r="I293" i="1" s="1"/>
  <c r="J310" i="3" l="1"/>
  <c r="C311" i="3" s="1"/>
  <c r="E293" i="1"/>
  <c r="J293" i="1" s="1"/>
  <c r="C294" i="1" s="1"/>
  <c r="G311" i="3" l="1"/>
  <c r="F311" i="3"/>
  <c r="D311" i="3"/>
  <c r="E311" i="3" s="1"/>
  <c r="I311" i="3"/>
  <c r="J311" i="3" s="1"/>
  <c r="C312" i="3" s="1"/>
  <c r="D294" i="1"/>
  <c r="G294" i="1" s="1"/>
  <c r="I294" i="1" s="1"/>
  <c r="F312" i="3" l="1"/>
  <c r="G312" i="3"/>
  <c r="D312" i="3"/>
  <c r="E312" i="3" s="1"/>
  <c r="I312" i="3"/>
  <c r="E294" i="1"/>
  <c r="J294" i="1" s="1"/>
  <c r="C295" i="1" s="1"/>
  <c r="J312" i="3" l="1"/>
  <c r="C313" i="3" s="1"/>
  <c r="D295" i="1"/>
  <c r="G295" i="1" s="1"/>
  <c r="I295" i="1" s="1"/>
  <c r="F313" i="3" l="1"/>
  <c r="I313" i="3"/>
  <c r="D313" i="3"/>
  <c r="E313" i="3" s="1"/>
  <c r="G313" i="3"/>
  <c r="E295" i="1"/>
  <c r="J295" i="1" s="1"/>
  <c r="C296" i="1" s="1"/>
  <c r="J313" i="3" l="1"/>
  <c r="C314" i="3" s="1"/>
  <c r="D296" i="1"/>
  <c r="G296" i="1" s="1"/>
  <c r="I296" i="1" s="1"/>
  <c r="I314" i="3" l="1"/>
  <c r="F314" i="3"/>
  <c r="D314" i="3"/>
  <c r="E314" i="3" s="1"/>
  <c r="J314" i="3" s="1"/>
  <c r="C315" i="3" s="1"/>
  <c r="G314" i="3"/>
  <c r="E296" i="1"/>
  <c r="J296" i="1" s="1"/>
  <c r="C297" i="1" s="1"/>
  <c r="I315" i="3" l="1"/>
  <c r="D315" i="3"/>
  <c r="E315" i="3" s="1"/>
  <c r="J315" i="3" s="1"/>
  <c r="C316" i="3" s="1"/>
  <c r="G315" i="3"/>
  <c r="F315" i="3"/>
  <c r="D297" i="1"/>
  <c r="G297" i="1" s="1"/>
  <c r="I297" i="1" s="1"/>
  <c r="D316" i="3" l="1"/>
  <c r="E316" i="3" s="1"/>
  <c r="I316" i="3"/>
  <c r="F316" i="3"/>
  <c r="G316" i="3"/>
  <c r="E297" i="1"/>
  <c r="J297" i="1" s="1"/>
  <c r="C298" i="1" s="1"/>
  <c r="J316" i="3" l="1"/>
  <c r="C317" i="3" s="1"/>
  <c r="D317" i="3"/>
  <c r="E317" i="3" s="1"/>
  <c r="F317" i="3"/>
  <c r="G317" i="3"/>
  <c r="I317" i="3"/>
  <c r="D298" i="1"/>
  <c r="G298" i="1" s="1"/>
  <c r="I298" i="1" s="1"/>
  <c r="J317" i="3" l="1"/>
  <c r="C318" i="3" s="1"/>
  <c r="I318" i="3" s="1"/>
  <c r="D318" i="3"/>
  <c r="E318" i="3" s="1"/>
  <c r="J318" i="3" s="1"/>
  <c r="C319" i="3" s="1"/>
  <c r="G318" i="3"/>
  <c r="F318" i="3"/>
  <c r="E298" i="1"/>
  <c r="J298" i="1" s="1"/>
  <c r="C299" i="1" s="1"/>
  <c r="G319" i="3" l="1"/>
  <c r="D319" i="3"/>
  <c r="E319" i="3" s="1"/>
  <c r="I319" i="3"/>
  <c r="F319" i="3"/>
  <c r="D299" i="1"/>
  <c r="G299" i="1" s="1"/>
  <c r="I299" i="1" s="1"/>
  <c r="J319" i="3" l="1"/>
  <c r="C320" i="3" s="1"/>
  <c r="D320" i="3" s="1"/>
  <c r="E320" i="3" s="1"/>
  <c r="F320" i="3"/>
  <c r="G320" i="3"/>
  <c r="I320" i="3"/>
  <c r="J320" i="3" s="1"/>
  <c r="C321" i="3" s="1"/>
  <c r="F321" i="3" s="1"/>
  <c r="E299" i="1"/>
  <c r="J299" i="1" s="1"/>
  <c r="C300" i="1" s="1"/>
  <c r="I321" i="3" l="1"/>
  <c r="G321" i="3"/>
  <c r="D321" i="3"/>
  <c r="E321" i="3" s="1"/>
  <c r="J321" i="3" s="1"/>
  <c r="C322" i="3" s="1"/>
  <c r="D300" i="1"/>
  <c r="G300" i="1" s="1"/>
  <c r="I300" i="1" s="1"/>
  <c r="D322" i="3" l="1"/>
  <c r="E322" i="3" s="1"/>
  <c r="F322" i="3"/>
  <c r="G322" i="3"/>
  <c r="I322" i="3"/>
  <c r="E300" i="1"/>
  <c r="J300" i="1" s="1"/>
  <c r="C301" i="1" s="1"/>
  <c r="J322" i="3" l="1"/>
  <c r="C323" i="3" s="1"/>
  <c r="F323" i="3"/>
  <c r="I323" i="3"/>
  <c r="G323" i="3"/>
  <c r="D323" i="3"/>
  <c r="E323" i="3" s="1"/>
  <c r="D301" i="1"/>
  <c r="G301" i="1" s="1"/>
  <c r="I301" i="1" s="1"/>
  <c r="J323" i="3" l="1"/>
  <c r="C324" i="3" s="1"/>
  <c r="E301" i="1"/>
  <c r="J301" i="1" s="1"/>
  <c r="C302" i="1" s="1"/>
  <c r="G324" i="3" l="1"/>
  <c r="I324" i="3"/>
  <c r="D324" i="3"/>
  <c r="E324" i="3" s="1"/>
  <c r="J324" i="3" s="1"/>
  <c r="C325" i="3" s="1"/>
  <c r="F324" i="3"/>
  <c r="D302" i="1"/>
  <c r="G302" i="1" s="1"/>
  <c r="I302" i="1" s="1"/>
  <c r="G325" i="3" l="1"/>
  <c r="D325" i="3"/>
  <c r="E325" i="3" s="1"/>
  <c r="I325" i="3"/>
  <c r="F325" i="3"/>
  <c r="E302" i="1"/>
  <c r="J302" i="1" s="1"/>
  <c r="C303" i="1" s="1"/>
  <c r="J325" i="3" l="1"/>
  <c r="C326" i="3" s="1"/>
  <c r="G326" i="3" s="1"/>
  <c r="D303" i="1"/>
  <c r="G303" i="1" s="1"/>
  <c r="I303" i="1" s="1"/>
  <c r="D326" i="3" l="1"/>
  <c r="E326" i="3" s="1"/>
  <c r="F326" i="3"/>
  <c r="I326" i="3"/>
  <c r="E303" i="1"/>
  <c r="J303" i="1" s="1"/>
  <c r="C304" i="1" s="1"/>
  <c r="J326" i="3" l="1"/>
  <c r="C327" i="3" s="1"/>
  <c r="F327" i="3"/>
  <c r="D327" i="3"/>
  <c r="E327" i="3" s="1"/>
  <c r="I327" i="3"/>
  <c r="G327" i="3"/>
  <c r="D304" i="1"/>
  <c r="G304" i="1" s="1"/>
  <c r="I304" i="1" s="1"/>
  <c r="J327" i="3" l="1"/>
  <c r="C328" i="3" s="1"/>
  <c r="F328" i="3" s="1"/>
  <c r="E304" i="1"/>
  <c r="J304" i="1" s="1"/>
  <c r="C305" i="1" s="1"/>
  <c r="D305" i="1" s="1"/>
  <c r="G305" i="1" s="1"/>
  <c r="I305" i="1" s="1"/>
  <c r="G328" i="3" l="1"/>
  <c r="D328" i="3"/>
  <c r="E328" i="3" s="1"/>
  <c r="I328" i="3"/>
  <c r="E305" i="1"/>
  <c r="J305" i="1" s="1"/>
  <c r="C306" i="1" s="1"/>
  <c r="J328" i="3" l="1"/>
  <c r="C329" i="3" s="1"/>
  <c r="D306" i="1"/>
  <c r="G306" i="1" s="1"/>
  <c r="I306" i="1" s="1"/>
  <c r="G329" i="3" l="1"/>
  <c r="F329" i="3"/>
  <c r="I329" i="3"/>
  <c r="D329" i="3"/>
  <c r="E329" i="3" s="1"/>
  <c r="J329" i="3" s="1"/>
  <c r="C330" i="3" s="1"/>
  <c r="F330" i="3" s="1"/>
  <c r="D330" i="3"/>
  <c r="E330" i="3" s="1"/>
  <c r="G330" i="3"/>
  <c r="E306" i="1"/>
  <c r="J306" i="1" s="1"/>
  <c r="C307" i="1" s="1"/>
  <c r="I330" i="3" l="1"/>
  <c r="J330" i="3" s="1"/>
  <c r="C331" i="3" s="1"/>
  <c r="D307" i="1"/>
  <c r="G307" i="1" s="1"/>
  <c r="I307" i="1" s="1"/>
  <c r="I331" i="3" l="1"/>
  <c r="G331" i="3"/>
  <c r="F331" i="3"/>
  <c r="D331" i="3"/>
  <c r="E331" i="3" s="1"/>
  <c r="J331" i="3" s="1"/>
  <c r="C332" i="3" s="1"/>
  <c r="F332" i="3" s="1"/>
  <c r="I332" i="3"/>
  <c r="G332" i="3"/>
  <c r="D332" i="3"/>
  <c r="E332" i="3" s="1"/>
  <c r="E307" i="1"/>
  <c r="J307" i="1" s="1"/>
  <c r="C308" i="1" s="1"/>
  <c r="J332" i="3" l="1"/>
  <c r="C333" i="3" s="1"/>
  <c r="D308" i="1"/>
  <c r="G308" i="1" s="1"/>
  <c r="I308" i="1" s="1"/>
  <c r="I333" i="3" l="1"/>
  <c r="D333" i="3"/>
  <c r="E333" i="3" s="1"/>
  <c r="F333" i="3"/>
  <c r="G333" i="3"/>
  <c r="E308" i="1"/>
  <c r="J308" i="1" s="1"/>
  <c r="C309" i="1" s="1"/>
  <c r="J333" i="3" l="1"/>
  <c r="C334" i="3" s="1"/>
  <c r="D309" i="1"/>
  <c r="G309" i="1" s="1"/>
  <c r="I309" i="1" s="1"/>
  <c r="D334" i="3" l="1"/>
  <c r="E334" i="3" s="1"/>
  <c r="I334" i="3"/>
  <c r="G334" i="3"/>
  <c r="F334" i="3"/>
  <c r="E309" i="1"/>
  <c r="J309" i="1" s="1"/>
  <c r="C310" i="1" s="1"/>
  <c r="J334" i="3" l="1"/>
  <c r="C335" i="3" s="1"/>
  <c r="G335" i="3" s="1"/>
  <c r="F335" i="3"/>
  <c r="D310" i="1"/>
  <c r="G310" i="1" s="1"/>
  <c r="I310" i="1" s="1"/>
  <c r="D335" i="3" l="1"/>
  <c r="E335" i="3" s="1"/>
  <c r="I335" i="3"/>
  <c r="J335" i="3"/>
  <c r="C336" i="3" s="1"/>
  <c r="E310" i="1"/>
  <c r="J310" i="1" s="1"/>
  <c r="C311" i="1" s="1"/>
  <c r="I336" i="3" l="1"/>
  <c r="D336" i="3"/>
  <c r="E336" i="3" s="1"/>
  <c r="J336" i="3" s="1"/>
  <c r="C337" i="3" s="1"/>
  <c r="G336" i="3"/>
  <c r="F336" i="3"/>
  <c r="D311" i="1"/>
  <c r="G311" i="1" s="1"/>
  <c r="I311" i="1" s="1"/>
  <c r="D337" i="3" l="1"/>
  <c r="E337" i="3" s="1"/>
  <c r="F337" i="3"/>
  <c r="G337" i="3"/>
  <c r="I337" i="3"/>
  <c r="E311" i="1"/>
  <c r="J311" i="1" s="1"/>
  <c r="C312" i="1" s="1"/>
  <c r="J337" i="3" l="1"/>
  <c r="C338" i="3" s="1"/>
  <c r="D312" i="1"/>
  <c r="G312" i="1" s="1"/>
  <c r="I312" i="1" s="1"/>
  <c r="I338" i="3" l="1"/>
  <c r="D338" i="3"/>
  <c r="E338" i="3" s="1"/>
  <c r="J338" i="3" s="1"/>
  <c r="C339" i="3" s="1"/>
  <c r="G338" i="3"/>
  <c r="F338" i="3"/>
  <c r="E312" i="1"/>
  <c r="J312" i="1" s="1"/>
  <c r="C313" i="1" s="1"/>
  <c r="D339" i="3" l="1"/>
  <c r="E339" i="3" s="1"/>
  <c r="G339" i="3"/>
  <c r="I339" i="3"/>
  <c r="J339" i="3" s="1"/>
  <c r="C340" i="3" s="1"/>
  <c r="F339" i="3"/>
  <c r="D313" i="1"/>
  <c r="G313" i="1" s="1"/>
  <c r="I313" i="1" s="1"/>
  <c r="F340" i="3" l="1"/>
  <c r="D340" i="3"/>
  <c r="E340" i="3" s="1"/>
  <c r="G340" i="3"/>
  <c r="I340" i="3"/>
  <c r="E313" i="1"/>
  <c r="J313" i="1" s="1"/>
  <c r="C314" i="1" s="1"/>
  <c r="J340" i="3" l="1"/>
  <c r="C341" i="3" s="1"/>
  <c r="I341" i="3" s="1"/>
  <c r="D341" i="3"/>
  <c r="E341" i="3" s="1"/>
  <c r="D314" i="1"/>
  <c r="G314" i="1" s="1"/>
  <c r="I314" i="1" s="1"/>
  <c r="G341" i="3" l="1"/>
  <c r="F341" i="3"/>
  <c r="J341" i="3"/>
  <c r="C342" i="3" s="1"/>
  <c r="E314" i="1"/>
  <c r="J314" i="1" s="1"/>
  <c r="C315" i="1" s="1"/>
  <c r="G342" i="3" l="1"/>
  <c r="I342" i="3"/>
  <c r="D342" i="3"/>
  <c r="E342" i="3" s="1"/>
  <c r="J342" i="3" s="1"/>
  <c r="C343" i="3" s="1"/>
  <c r="F342" i="3"/>
  <c r="D315" i="1"/>
  <c r="G315" i="1" s="1"/>
  <c r="I315" i="1" s="1"/>
  <c r="D343" i="3" l="1"/>
  <c r="E343" i="3" s="1"/>
  <c r="F343" i="3"/>
  <c r="I343" i="3"/>
  <c r="G343" i="3"/>
  <c r="E315" i="1"/>
  <c r="J315" i="1" s="1"/>
  <c r="C316" i="1" s="1"/>
  <c r="J343" i="3" l="1"/>
  <c r="C344" i="3" s="1"/>
  <c r="D316" i="1"/>
  <c r="G316" i="1" s="1"/>
  <c r="I316" i="1" s="1"/>
  <c r="F344" i="3" l="1"/>
  <c r="D344" i="3"/>
  <c r="E344" i="3" s="1"/>
  <c r="G344" i="3"/>
  <c r="I344" i="3"/>
  <c r="E316" i="1"/>
  <c r="J316" i="1" s="1"/>
  <c r="C317" i="1" s="1"/>
  <c r="D317" i="1" s="1"/>
  <c r="G317" i="1" s="1"/>
  <c r="I317" i="1" s="1"/>
  <c r="J344" i="3" l="1"/>
  <c r="C345" i="3" s="1"/>
  <c r="D345" i="3"/>
  <c r="E345" i="3" s="1"/>
  <c r="F345" i="3"/>
  <c r="I345" i="3"/>
  <c r="J345" i="3" s="1"/>
  <c r="C346" i="3" s="1"/>
  <c r="G345" i="3"/>
  <c r="E317" i="1"/>
  <c r="J317" i="1" s="1"/>
  <c r="C318" i="1" s="1"/>
  <c r="I346" i="3" l="1"/>
  <c r="D346" i="3"/>
  <c r="E346" i="3" s="1"/>
  <c r="J346" i="3" s="1"/>
  <c r="C347" i="3" s="1"/>
  <c r="F347" i="3" s="1"/>
  <c r="G346" i="3"/>
  <c r="F346" i="3"/>
  <c r="D318" i="1"/>
  <c r="G318" i="1" s="1"/>
  <c r="I318" i="1" s="1"/>
  <c r="I347" i="3" l="1"/>
  <c r="D347" i="3"/>
  <c r="E347" i="3" s="1"/>
  <c r="J347" i="3" s="1"/>
  <c r="C348" i="3" s="1"/>
  <c r="G348" i="3" s="1"/>
  <c r="G347" i="3"/>
  <c r="E318" i="1"/>
  <c r="J318" i="1" s="1"/>
  <c r="C319" i="1" s="1"/>
  <c r="I348" i="3" l="1"/>
  <c r="F348" i="3"/>
  <c r="D348" i="3"/>
  <c r="E348" i="3" s="1"/>
  <c r="D319" i="1"/>
  <c r="G319" i="1" s="1"/>
  <c r="I319" i="1" s="1"/>
  <c r="J348" i="3" l="1"/>
  <c r="C349" i="3" s="1"/>
  <c r="G349" i="3" s="1"/>
  <c r="E319" i="1"/>
  <c r="J319" i="1" s="1"/>
  <c r="C320" i="1" s="1"/>
  <c r="I349" i="3" l="1"/>
  <c r="F349" i="3"/>
  <c r="D349" i="3"/>
  <c r="E349" i="3" s="1"/>
  <c r="J349" i="3" s="1"/>
  <c r="C350" i="3" s="1"/>
  <c r="D350" i="3" s="1"/>
  <c r="E350" i="3" s="1"/>
  <c r="D320" i="1"/>
  <c r="G320" i="1" s="1"/>
  <c r="I320" i="1" s="1"/>
  <c r="F350" i="3" l="1"/>
  <c r="G350" i="3"/>
  <c r="I350" i="3"/>
  <c r="J350" i="3" s="1"/>
  <c r="C351" i="3" s="1"/>
  <c r="G351" i="3" s="1"/>
  <c r="E320" i="1"/>
  <c r="J320" i="1" s="1"/>
  <c r="C321" i="1" s="1"/>
  <c r="F351" i="3" l="1"/>
  <c r="I351" i="3"/>
  <c r="D351" i="3"/>
  <c r="E351" i="3" s="1"/>
  <c r="D321" i="1"/>
  <c r="G321" i="1" s="1"/>
  <c r="I321" i="1" s="1"/>
  <c r="J351" i="3" l="1"/>
  <c r="C352" i="3" s="1"/>
  <c r="I352" i="3" s="1"/>
  <c r="E321" i="1"/>
  <c r="J321" i="1" s="1"/>
  <c r="C322" i="1" s="1"/>
  <c r="D352" i="3" l="1"/>
  <c r="E352" i="3" s="1"/>
  <c r="J352" i="3" s="1"/>
  <c r="C353" i="3" s="1"/>
  <c r="G353" i="3" s="1"/>
  <c r="G352" i="3"/>
  <c r="F352" i="3"/>
  <c r="D322" i="1"/>
  <c r="G322" i="1" s="1"/>
  <c r="I322" i="1" s="1"/>
  <c r="F353" i="3" l="1"/>
  <c r="I353" i="3"/>
  <c r="D353" i="3"/>
  <c r="E353" i="3" s="1"/>
  <c r="J353" i="3" s="1"/>
  <c r="C354" i="3" s="1"/>
  <c r="E322" i="1"/>
  <c r="J322" i="1" s="1"/>
  <c r="C323" i="1" s="1"/>
  <c r="D354" i="3" l="1"/>
  <c r="E354" i="3" s="1"/>
  <c r="I354" i="3"/>
  <c r="G354" i="3"/>
  <c r="F354" i="3"/>
  <c r="D323" i="1"/>
  <c r="G323" i="1" s="1"/>
  <c r="I323" i="1" s="1"/>
  <c r="J354" i="3" l="1"/>
  <c r="C355" i="3" s="1"/>
  <c r="E323" i="1"/>
  <c r="J323" i="1" s="1"/>
  <c r="C324" i="1" s="1"/>
  <c r="G355" i="3" l="1"/>
  <c r="D355" i="3"/>
  <c r="E355" i="3" s="1"/>
  <c r="F355" i="3"/>
  <c r="I355" i="3"/>
  <c r="D324" i="1"/>
  <c r="G324" i="1" s="1"/>
  <c r="I324" i="1" s="1"/>
  <c r="J355" i="3" l="1"/>
  <c r="C356" i="3" s="1"/>
  <c r="F356" i="3" s="1"/>
  <c r="E324" i="1"/>
  <c r="J324" i="1" s="1"/>
  <c r="C325" i="1" s="1"/>
  <c r="D356" i="3" l="1"/>
  <c r="E356" i="3" s="1"/>
  <c r="I356" i="3"/>
  <c r="G356" i="3"/>
  <c r="D325" i="1"/>
  <c r="G325" i="1" s="1"/>
  <c r="I325" i="1" s="1"/>
  <c r="J356" i="3" l="1"/>
  <c r="C357" i="3" s="1"/>
  <c r="F357" i="3" s="1"/>
  <c r="E325" i="1"/>
  <c r="J325" i="1" s="1"/>
  <c r="C326" i="1" s="1"/>
  <c r="D357" i="3" l="1"/>
  <c r="E357" i="3" s="1"/>
  <c r="G357" i="3"/>
  <c r="I357" i="3"/>
  <c r="J357" i="3"/>
  <c r="C358" i="3" s="1"/>
  <c r="D358" i="3" s="1"/>
  <c r="E358" i="3" s="1"/>
  <c r="D326" i="1"/>
  <c r="G326" i="1" s="1"/>
  <c r="I326" i="1" s="1"/>
  <c r="I358" i="3" l="1"/>
  <c r="J358" i="3" s="1"/>
  <c r="C359" i="3" s="1"/>
  <c r="F359" i="3" s="1"/>
  <c r="G358" i="3"/>
  <c r="F358" i="3"/>
  <c r="E326" i="1"/>
  <c r="J326" i="1" s="1"/>
  <c r="C327" i="1" s="1"/>
  <c r="G359" i="3" l="1"/>
  <c r="D359" i="3"/>
  <c r="E359" i="3" s="1"/>
  <c r="I359" i="3"/>
  <c r="D327" i="1"/>
  <c r="G327" i="1" s="1"/>
  <c r="I327" i="1" s="1"/>
  <c r="J359" i="3" l="1"/>
  <c r="C360" i="3" s="1"/>
  <c r="F360" i="3" s="1"/>
  <c r="E327" i="1"/>
  <c r="J327" i="1" s="1"/>
  <c r="C328" i="1" s="1"/>
  <c r="G360" i="3" l="1"/>
  <c r="D360" i="3"/>
  <c r="E360" i="3" s="1"/>
  <c r="I360" i="3"/>
  <c r="D328" i="1"/>
  <c r="G328" i="1" s="1"/>
  <c r="I328" i="1" s="1"/>
  <c r="J360" i="3" l="1"/>
  <c r="C361" i="3" s="1"/>
  <c r="F361" i="3" s="1"/>
  <c r="E328" i="1"/>
  <c r="J328" i="1" s="1"/>
  <c r="C329" i="1" s="1"/>
  <c r="I361" i="3" l="1"/>
  <c r="G361" i="3"/>
  <c r="D361" i="3"/>
  <c r="E361" i="3" s="1"/>
  <c r="J361" i="3" s="1"/>
  <c r="C362" i="3" s="1"/>
  <c r="D362" i="3" s="1"/>
  <c r="E362" i="3" s="1"/>
  <c r="D329" i="1"/>
  <c r="G329" i="1" s="1"/>
  <c r="I329" i="1" s="1"/>
  <c r="I362" i="3" l="1"/>
  <c r="J362" i="3" s="1"/>
  <c r="C363" i="3" s="1"/>
  <c r="D363" i="3" s="1"/>
  <c r="E363" i="3" s="1"/>
  <c r="F362" i="3"/>
  <c r="G362" i="3"/>
  <c r="E329" i="1"/>
  <c r="J329" i="1" s="1"/>
  <c r="C330" i="1" s="1"/>
  <c r="F363" i="3" l="1"/>
  <c r="I363" i="3"/>
  <c r="J363" i="3" s="1"/>
  <c r="C364" i="3" s="1"/>
  <c r="I364" i="3" s="1"/>
  <c r="G363" i="3"/>
  <c r="D330" i="1"/>
  <c r="G330" i="1" s="1"/>
  <c r="I330" i="1" s="1"/>
  <c r="F364" i="3" l="1"/>
  <c r="D364" i="3"/>
  <c r="E364" i="3" s="1"/>
  <c r="J364" i="3" s="1"/>
  <c r="C365" i="3" s="1"/>
  <c r="I365" i="3" s="1"/>
  <c r="G364" i="3"/>
  <c r="E330" i="1"/>
  <c r="J330" i="1" s="1"/>
  <c r="C331" i="1" s="1"/>
  <c r="G365" i="3" l="1"/>
  <c r="D365" i="3"/>
  <c r="E365" i="3" s="1"/>
  <c r="J365" i="3" s="1"/>
  <c r="C366" i="3" s="1"/>
  <c r="G366" i="3" s="1"/>
  <c r="F365" i="3"/>
  <c r="D331" i="1"/>
  <c r="G331" i="1" s="1"/>
  <c r="I331" i="1" s="1"/>
  <c r="I366" i="3" l="1"/>
  <c r="F366" i="3"/>
  <c r="D366" i="3"/>
  <c r="E366" i="3" s="1"/>
  <c r="E331" i="1"/>
  <c r="J331" i="1" s="1"/>
  <c r="C332" i="1" s="1"/>
  <c r="J366" i="3" l="1"/>
  <c r="C367" i="3" s="1"/>
  <c r="G367" i="3" s="1"/>
  <c r="D332" i="1"/>
  <c r="G332" i="1" s="1"/>
  <c r="I332" i="1" s="1"/>
  <c r="D367" i="3" l="1"/>
  <c r="E367" i="3" s="1"/>
  <c r="F367" i="3"/>
  <c r="I367" i="3"/>
  <c r="E332" i="1"/>
  <c r="J332" i="1" s="1"/>
  <c r="C333" i="1" s="1"/>
  <c r="J367" i="3" l="1"/>
  <c r="C368" i="3" s="1"/>
  <c r="I368" i="3" s="1"/>
  <c r="D333" i="1"/>
  <c r="G333" i="1" s="1"/>
  <c r="I333" i="1" s="1"/>
  <c r="G368" i="3" l="1"/>
  <c r="D368" i="3"/>
  <c r="E368" i="3" s="1"/>
  <c r="J368" i="3" s="1"/>
  <c r="C369" i="3" s="1"/>
  <c r="F369" i="3" s="1"/>
  <c r="F368" i="3"/>
  <c r="E333" i="1"/>
  <c r="J333" i="1" s="1"/>
  <c r="C334" i="1" s="1"/>
  <c r="G369" i="3" l="1"/>
  <c r="D369" i="3"/>
  <c r="E369" i="3" s="1"/>
  <c r="I369" i="3"/>
  <c r="D334" i="1"/>
  <c r="G334" i="1" s="1"/>
  <c r="I334" i="1" s="1"/>
  <c r="J369" i="3" l="1"/>
  <c r="C370" i="3" s="1"/>
  <c r="D370" i="3" s="1"/>
  <c r="E370" i="3" s="1"/>
  <c r="E334" i="1"/>
  <c r="J334" i="1" s="1"/>
  <c r="C335" i="1" s="1"/>
  <c r="I370" i="3" l="1"/>
  <c r="J370" i="3" s="1"/>
  <c r="C371" i="3" s="1"/>
  <c r="G371" i="3" s="1"/>
  <c r="G370" i="3"/>
  <c r="F370" i="3"/>
  <c r="D335" i="1"/>
  <c r="G335" i="1" s="1"/>
  <c r="I335" i="1" s="1"/>
  <c r="F371" i="3" l="1"/>
  <c r="D371" i="3"/>
  <c r="E371" i="3" s="1"/>
  <c r="I371" i="3"/>
  <c r="G3" i="3" s="1"/>
  <c r="G4" i="3" s="1"/>
  <c r="G7" i="3" s="1"/>
  <c r="G8" i="3" s="1"/>
  <c r="E335" i="1"/>
  <c r="J335" i="1" s="1"/>
  <c r="C336" i="1" s="1"/>
  <c r="J371" i="3" l="1"/>
  <c r="C372" i="3" s="1"/>
  <c r="F372" i="3" s="1"/>
  <c r="I372" i="3"/>
  <c r="G372" i="3"/>
  <c r="D372" i="3"/>
  <c r="E372" i="3" s="1"/>
  <c r="D336" i="1"/>
  <c r="G336" i="1" s="1"/>
  <c r="I336" i="1" s="1"/>
  <c r="J372" i="3" l="1"/>
  <c r="C373" i="3" s="1"/>
  <c r="D373" i="3" s="1"/>
  <c r="E373" i="3" s="1"/>
  <c r="I373" i="3"/>
  <c r="J373" i="3" s="1"/>
  <c r="C374" i="3" s="1"/>
  <c r="F374" i="3" s="1"/>
  <c r="G373" i="3"/>
  <c r="F373" i="3"/>
  <c r="E336" i="1"/>
  <c r="J336" i="1" s="1"/>
  <c r="C337" i="1" s="1"/>
  <c r="D337" i="1" s="1"/>
  <c r="G337" i="1" s="1"/>
  <c r="I337" i="1" s="1"/>
  <c r="G374" i="3" l="1"/>
  <c r="D374" i="3"/>
  <c r="E374" i="3" s="1"/>
  <c r="I374" i="3"/>
  <c r="E337" i="1"/>
  <c r="J337" i="1" s="1"/>
  <c r="C338" i="1" s="1"/>
  <c r="J374" i="3" l="1"/>
  <c r="C375" i="3" s="1"/>
  <c r="G375" i="3" s="1"/>
  <c r="D338" i="1"/>
  <c r="G338" i="1" s="1"/>
  <c r="I338" i="1" s="1"/>
  <c r="I375" i="3" l="1"/>
  <c r="F375" i="3"/>
  <c r="D375" i="3"/>
  <c r="E375" i="3" s="1"/>
  <c r="E338" i="1"/>
  <c r="J338" i="1" s="1"/>
  <c r="C339" i="1" s="1"/>
  <c r="J375" i="3" l="1"/>
  <c r="C376" i="3" s="1"/>
  <c r="F376" i="3" s="1"/>
  <c r="D339" i="1"/>
  <c r="G339" i="1" s="1"/>
  <c r="I339" i="1" s="1"/>
  <c r="I376" i="3" l="1"/>
  <c r="D376" i="3"/>
  <c r="E376" i="3" s="1"/>
  <c r="G376" i="3"/>
  <c r="E339" i="1"/>
  <c r="J339" i="1" s="1"/>
  <c r="C340" i="1" s="1"/>
  <c r="J376" i="3" l="1"/>
  <c r="C377" i="3" s="1"/>
  <c r="F377" i="3" s="1"/>
  <c r="D340" i="1"/>
  <c r="G340" i="1" s="1"/>
  <c r="I340" i="1" s="1"/>
  <c r="D377" i="3" l="1"/>
  <c r="E377" i="3" s="1"/>
  <c r="G377" i="3"/>
  <c r="I377" i="3"/>
  <c r="E340" i="1"/>
  <c r="J340" i="1" s="1"/>
  <c r="C341" i="1" s="1"/>
  <c r="J377" i="3" l="1"/>
  <c r="C378" i="3" s="1"/>
  <c r="I378" i="3" s="1"/>
  <c r="D341" i="1"/>
  <c r="G341" i="1" s="1"/>
  <c r="I341" i="1" s="1"/>
  <c r="F378" i="3" l="1"/>
  <c r="D378" i="3"/>
  <c r="E378" i="3" s="1"/>
  <c r="J378" i="3" s="1"/>
  <c r="C379" i="3" s="1"/>
  <c r="D379" i="3" s="1"/>
  <c r="E379" i="3" s="1"/>
  <c r="G378" i="3"/>
  <c r="F379" i="3"/>
  <c r="G379" i="3"/>
  <c r="E341" i="1"/>
  <c r="J341" i="1" s="1"/>
  <c r="C342" i="1" s="1"/>
  <c r="I379" i="3" l="1"/>
  <c r="J379" i="3" s="1"/>
  <c r="C380" i="3" s="1"/>
  <c r="G380" i="3" s="1"/>
  <c r="D342" i="1"/>
  <c r="G342" i="1" s="1"/>
  <c r="I342" i="1" s="1"/>
  <c r="I380" i="3" l="1"/>
  <c r="F380" i="3"/>
  <c r="D380" i="3"/>
  <c r="E380" i="3" s="1"/>
  <c r="J380" i="3"/>
  <c r="C381" i="3" s="1"/>
  <c r="D381" i="3" s="1"/>
  <c r="E381" i="3" s="1"/>
  <c r="E342" i="1"/>
  <c r="J342" i="1" s="1"/>
  <c r="C343" i="1" s="1"/>
  <c r="F381" i="3" l="1"/>
  <c r="G381" i="3"/>
  <c r="I381" i="3"/>
  <c r="J381" i="3" s="1"/>
  <c r="C382" i="3" s="1"/>
  <c r="D382" i="3" s="1"/>
  <c r="E382" i="3" s="1"/>
  <c r="D343" i="1"/>
  <c r="G343" i="1" s="1"/>
  <c r="I343" i="1" s="1"/>
  <c r="I382" i="3" l="1"/>
  <c r="J382" i="3" s="1"/>
  <c r="C383" i="3" s="1"/>
  <c r="I383" i="3" s="1"/>
  <c r="F382" i="3"/>
  <c r="G382" i="3"/>
  <c r="E343" i="1"/>
  <c r="J343" i="1" s="1"/>
  <c r="C344" i="1" s="1"/>
  <c r="F383" i="3" l="1"/>
  <c r="G383" i="3"/>
  <c r="D383" i="3"/>
  <c r="E383" i="3" s="1"/>
  <c r="J383" i="3" s="1"/>
  <c r="C384" i="3" s="1"/>
  <c r="D344" i="1"/>
  <c r="G344" i="1" s="1"/>
  <c r="I344" i="1" s="1"/>
  <c r="F384" i="3" l="1"/>
  <c r="I384" i="3"/>
  <c r="D384" i="3"/>
  <c r="E384" i="3" s="1"/>
  <c r="G384" i="3"/>
  <c r="E344" i="1"/>
  <c r="J344" i="1" s="1"/>
  <c r="C345" i="1" s="1"/>
  <c r="J384" i="3" l="1"/>
  <c r="C385" i="3" s="1"/>
  <c r="D385" i="3" s="1"/>
  <c r="E385" i="3" s="1"/>
  <c r="D345" i="1"/>
  <c r="G345" i="1" s="1"/>
  <c r="I345" i="1" s="1"/>
  <c r="I385" i="3" l="1"/>
  <c r="J385" i="3" s="1"/>
  <c r="C386" i="3" s="1"/>
  <c r="D386" i="3" s="1"/>
  <c r="E386" i="3" s="1"/>
  <c r="G385" i="3"/>
  <c r="F385" i="3"/>
  <c r="E345" i="1"/>
  <c r="J345" i="1" s="1"/>
  <c r="C346" i="1" s="1"/>
  <c r="G386" i="3" l="1"/>
  <c r="F386" i="3"/>
  <c r="I386" i="3"/>
  <c r="J386" i="3" s="1"/>
  <c r="C387" i="3" s="1"/>
  <c r="D346" i="1"/>
  <c r="G346" i="1" s="1"/>
  <c r="I346" i="1" s="1"/>
  <c r="I387" i="3" l="1"/>
  <c r="F387" i="3"/>
  <c r="D387" i="3"/>
  <c r="E387" i="3" s="1"/>
  <c r="G387" i="3"/>
  <c r="E346" i="1"/>
  <c r="J346" i="1" s="1"/>
  <c r="C347" i="1" s="1"/>
  <c r="J387" i="3" l="1"/>
  <c r="C388" i="3" s="1"/>
  <c r="D388" i="3" s="1"/>
  <c r="E388" i="3" s="1"/>
  <c r="D347" i="1"/>
  <c r="G347" i="1" s="1"/>
  <c r="I347" i="1" s="1"/>
  <c r="I388" i="3" l="1"/>
  <c r="J388" i="3" s="1"/>
  <c r="C389" i="3" s="1"/>
  <c r="F389" i="3" s="1"/>
  <c r="G388" i="3"/>
  <c r="F388" i="3"/>
  <c r="E347" i="1"/>
  <c r="J347" i="1" s="1"/>
  <c r="C348" i="1" s="1"/>
  <c r="G389" i="3" l="1"/>
  <c r="D389" i="3"/>
  <c r="E389" i="3" s="1"/>
  <c r="I389" i="3"/>
  <c r="D348" i="1"/>
  <c r="G348" i="1" s="1"/>
  <c r="I348" i="1" s="1"/>
  <c r="J389" i="3" l="1"/>
  <c r="C390" i="3" s="1"/>
  <c r="E348" i="1"/>
  <c r="J348" i="1" s="1"/>
  <c r="C349" i="1" s="1"/>
  <c r="D349" i="1" s="1"/>
  <c r="G349" i="1" s="1"/>
  <c r="I349" i="1" s="1"/>
  <c r="G390" i="3" l="1"/>
  <c r="I390" i="3"/>
  <c r="F390" i="3"/>
  <c r="D390" i="3"/>
  <c r="E390" i="3" s="1"/>
  <c r="E349" i="1"/>
  <c r="J349" i="1" s="1"/>
  <c r="C350" i="1" s="1"/>
  <c r="J390" i="3" l="1"/>
  <c r="C391" i="3" s="1"/>
  <c r="D391" i="3" s="1"/>
  <c r="E391" i="3" s="1"/>
  <c r="D350" i="1"/>
  <c r="G350" i="1" s="1"/>
  <c r="I350" i="1" s="1"/>
  <c r="F391" i="3" l="1"/>
  <c r="G391" i="3"/>
  <c r="I391" i="3"/>
  <c r="J391" i="3" s="1"/>
  <c r="C392" i="3" s="1"/>
  <c r="D392" i="3" s="1"/>
  <c r="E392" i="3" s="1"/>
  <c r="E350" i="1"/>
  <c r="J350" i="1" s="1"/>
  <c r="C351" i="1" s="1"/>
  <c r="I392" i="3" l="1"/>
  <c r="J392" i="3" s="1"/>
  <c r="C393" i="3" s="1"/>
  <c r="D393" i="3" s="1"/>
  <c r="E393" i="3" s="1"/>
  <c r="G392" i="3"/>
  <c r="F392" i="3"/>
  <c r="D351" i="1"/>
  <c r="G351" i="1" s="1"/>
  <c r="I351" i="1" s="1"/>
  <c r="G393" i="3" l="1"/>
  <c r="I393" i="3"/>
  <c r="J393" i="3" s="1"/>
  <c r="C394" i="3" s="1"/>
  <c r="F393" i="3"/>
  <c r="E351" i="1"/>
  <c r="J351" i="1" s="1"/>
  <c r="C352" i="1" s="1"/>
  <c r="D394" i="3" l="1"/>
  <c r="E394" i="3" s="1"/>
  <c r="I394" i="3"/>
  <c r="G394" i="3"/>
  <c r="F394" i="3"/>
  <c r="D352" i="1"/>
  <c r="G352" i="1" s="1"/>
  <c r="I352" i="1" s="1"/>
  <c r="J394" i="3" l="1"/>
  <c r="C395" i="3" s="1"/>
  <c r="E352" i="1"/>
  <c r="J352" i="1" s="1"/>
  <c r="C353" i="1" s="1"/>
  <c r="I395" i="3" l="1"/>
  <c r="G395" i="3"/>
  <c r="F395" i="3"/>
  <c r="D395" i="3"/>
  <c r="E395" i="3" s="1"/>
  <c r="D353" i="1"/>
  <c r="G353" i="1" s="1"/>
  <c r="I353" i="1" s="1"/>
  <c r="J395" i="3" l="1"/>
  <c r="C396" i="3" s="1"/>
  <c r="E353" i="1"/>
  <c r="J353" i="1" s="1"/>
  <c r="C354" i="1" s="1"/>
  <c r="F396" i="3" l="1"/>
  <c r="D396" i="3"/>
  <c r="E396" i="3" s="1"/>
  <c r="G396" i="3"/>
  <c r="I396" i="3"/>
  <c r="D354" i="1"/>
  <c r="G354" i="1" s="1"/>
  <c r="I354" i="1" s="1"/>
  <c r="J396" i="3" l="1"/>
  <c r="C397" i="3" s="1"/>
  <c r="E354" i="1"/>
  <c r="J354" i="1" s="1"/>
  <c r="C355" i="1" s="1"/>
  <c r="D355" i="1" s="1"/>
  <c r="G355" i="1" s="1"/>
  <c r="I355" i="1" s="1"/>
  <c r="F397" i="3" l="1"/>
  <c r="D397" i="3"/>
  <c r="E397" i="3" s="1"/>
  <c r="G397" i="3"/>
  <c r="I397" i="3"/>
  <c r="E355" i="1"/>
  <c r="J355" i="1" s="1"/>
  <c r="C356" i="1" s="1"/>
  <c r="D356" i="1" s="1"/>
  <c r="G356" i="1" s="1"/>
  <c r="I356" i="1" s="1"/>
  <c r="J397" i="3" l="1"/>
  <c r="C398" i="3" s="1"/>
  <c r="F398" i="3" s="1"/>
  <c r="E356" i="1"/>
  <c r="J356" i="1" s="1"/>
  <c r="C357" i="1" s="1"/>
  <c r="I398" i="3" l="1"/>
  <c r="D398" i="3"/>
  <c r="E398" i="3" s="1"/>
  <c r="G398" i="3"/>
  <c r="D357" i="1"/>
  <c r="G357" i="1" s="1"/>
  <c r="I357" i="1" s="1"/>
  <c r="J398" i="3" l="1"/>
  <c r="C399" i="3" s="1"/>
  <c r="F399" i="3" s="1"/>
  <c r="E357" i="1"/>
  <c r="J357" i="1" s="1"/>
  <c r="C358" i="1" s="1"/>
  <c r="G399" i="3" l="1"/>
  <c r="I399" i="3"/>
  <c r="D399" i="3"/>
  <c r="E399" i="3" s="1"/>
  <c r="J399" i="3" s="1"/>
  <c r="C400" i="3" s="1"/>
  <c r="G400" i="3" s="1"/>
  <c r="D358" i="1"/>
  <c r="G358" i="1" s="1"/>
  <c r="I358" i="1" s="1"/>
  <c r="D400" i="3" l="1"/>
  <c r="E400" i="3" s="1"/>
  <c r="I400" i="3"/>
  <c r="F400" i="3"/>
  <c r="E358" i="1"/>
  <c r="J358" i="1" s="1"/>
  <c r="C359" i="1" s="1"/>
  <c r="J400" i="3" l="1"/>
  <c r="C401" i="3" s="1"/>
  <c r="I401" i="3" s="1"/>
  <c r="D359" i="1"/>
  <c r="G359" i="1" s="1"/>
  <c r="I359" i="1" s="1"/>
  <c r="F401" i="3" l="1"/>
  <c r="D401" i="3"/>
  <c r="E401" i="3" s="1"/>
  <c r="J401" i="3" s="1"/>
  <c r="C402" i="3" s="1"/>
  <c r="D402" i="3" s="1"/>
  <c r="E402" i="3" s="1"/>
  <c r="G401" i="3"/>
  <c r="E359" i="1"/>
  <c r="J359" i="1" s="1"/>
  <c r="C360" i="1" s="1"/>
  <c r="G402" i="3" l="1"/>
  <c r="I402" i="3"/>
  <c r="J402" i="3" s="1"/>
  <c r="C403" i="3" s="1"/>
  <c r="I403" i="3" s="1"/>
  <c r="F402" i="3"/>
  <c r="D360" i="1"/>
  <c r="G360" i="1" s="1"/>
  <c r="I360" i="1" s="1"/>
  <c r="G403" i="3" l="1"/>
  <c r="D403" i="3"/>
  <c r="E403" i="3" s="1"/>
  <c r="J403" i="3" s="1"/>
  <c r="C404" i="3" s="1"/>
  <c r="F403" i="3"/>
  <c r="E360" i="1"/>
  <c r="J360" i="1" s="1"/>
  <c r="C361" i="1" s="1"/>
  <c r="G404" i="3" l="1"/>
  <c r="D404" i="3"/>
  <c r="E404" i="3" s="1"/>
  <c r="F404" i="3"/>
  <c r="I404" i="3"/>
  <c r="D361" i="1"/>
  <c r="G361" i="1" s="1"/>
  <c r="I361" i="1" s="1"/>
  <c r="J404" i="3" l="1"/>
  <c r="C405" i="3" s="1"/>
  <c r="D405" i="3" s="1"/>
  <c r="E405" i="3" s="1"/>
  <c r="E361" i="1"/>
  <c r="J361" i="1" s="1"/>
  <c r="C362" i="1" s="1"/>
  <c r="D362" i="1" s="1"/>
  <c r="G362" i="1" s="1"/>
  <c r="I362" i="1" s="1"/>
  <c r="G405" i="3" l="1"/>
  <c r="F405" i="3"/>
  <c r="I405" i="3"/>
  <c r="J405" i="3" s="1"/>
  <c r="C406" i="3" s="1"/>
  <c r="D406" i="3" s="1"/>
  <c r="E406" i="3" s="1"/>
  <c r="E362" i="1"/>
  <c r="J362" i="1" s="1"/>
  <c r="C363" i="1" s="1"/>
  <c r="F406" i="3" l="1"/>
  <c r="I406" i="3"/>
  <c r="J406" i="3" s="1"/>
  <c r="C407" i="3" s="1"/>
  <c r="G406" i="3"/>
  <c r="D363" i="1"/>
  <c r="G363" i="1" s="1"/>
  <c r="I363" i="1" s="1"/>
  <c r="F407" i="3" l="1"/>
  <c r="G407" i="3"/>
  <c r="D407" i="3"/>
  <c r="E407" i="3" s="1"/>
  <c r="I407" i="3"/>
  <c r="E363" i="1"/>
  <c r="J363" i="1" s="1"/>
  <c r="C364" i="1" s="1"/>
  <c r="D364" i="1" s="1"/>
  <c r="G364" i="1" s="1"/>
  <c r="I364" i="1" s="1"/>
  <c r="J407" i="3" l="1"/>
  <c r="C408" i="3" s="1"/>
  <c r="F408" i="3" s="1"/>
  <c r="E364" i="1"/>
  <c r="J364" i="1" s="1"/>
  <c r="C365" i="1" s="1"/>
  <c r="D365" i="1" s="1"/>
  <c r="G365" i="1" s="1"/>
  <c r="I365" i="1" s="1"/>
  <c r="G408" i="3" l="1"/>
  <c r="I408" i="3"/>
  <c r="D408" i="3"/>
  <c r="E408" i="3" s="1"/>
  <c r="E365" i="1"/>
  <c r="J365" i="1" s="1"/>
  <c r="C366" i="1" s="1"/>
  <c r="J408" i="3" l="1"/>
  <c r="C409" i="3" s="1"/>
  <c r="G409" i="3" s="1"/>
  <c r="D366" i="1"/>
  <c r="G366" i="1" s="1"/>
  <c r="I366" i="1" s="1"/>
  <c r="I409" i="3" l="1"/>
  <c r="D409" i="3"/>
  <c r="E409" i="3" s="1"/>
  <c r="J409" i="3" s="1"/>
  <c r="C410" i="3" s="1"/>
  <c r="G410" i="3" s="1"/>
  <c r="F409" i="3"/>
  <c r="E366" i="1"/>
  <c r="J366" i="1" s="1"/>
  <c r="C367" i="1" s="1"/>
  <c r="I410" i="3" l="1"/>
  <c r="F410" i="3"/>
  <c r="D410" i="3"/>
  <c r="E410" i="3" s="1"/>
  <c r="D367" i="1"/>
  <c r="G367" i="1" s="1"/>
  <c r="I367" i="1" s="1"/>
  <c r="J410" i="3" l="1"/>
  <c r="C411" i="3" s="1"/>
  <c r="E367" i="1"/>
  <c r="J367" i="1" s="1"/>
  <c r="C368" i="1" s="1"/>
  <c r="D368" i="1" s="1"/>
  <c r="G368" i="1" s="1"/>
  <c r="I368" i="1" s="1"/>
  <c r="G411" i="3" l="1"/>
  <c r="F411" i="3"/>
  <c r="I411" i="3"/>
  <c r="D411" i="3"/>
  <c r="E411" i="3" s="1"/>
  <c r="E368" i="1"/>
  <c r="J368" i="1" s="1"/>
  <c r="C369" i="1" s="1"/>
  <c r="J411" i="3" l="1"/>
  <c r="C412" i="3" s="1"/>
  <c r="F412" i="3" s="1"/>
  <c r="D369" i="1"/>
  <c r="G369" i="1" s="1"/>
  <c r="I369" i="1" s="1"/>
  <c r="G412" i="3" l="1"/>
  <c r="D412" i="3"/>
  <c r="E412" i="3" s="1"/>
  <c r="I412" i="3"/>
  <c r="E369" i="1"/>
  <c r="J369" i="1" s="1"/>
  <c r="C370" i="1" s="1"/>
  <c r="D370" i="1" s="1"/>
  <c r="G370" i="1" s="1"/>
  <c r="I370" i="1" s="1"/>
  <c r="J412" i="3" l="1"/>
  <c r="C413" i="3" s="1"/>
  <c r="F413" i="3" s="1"/>
  <c r="E370" i="1"/>
  <c r="J370" i="1" s="1"/>
  <c r="C371" i="1" s="1"/>
  <c r="G413" i="3" l="1"/>
  <c r="D413" i="3"/>
  <c r="E413" i="3" s="1"/>
  <c r="I413" i="3"/>
  <c r="D371" i="1"/>
  <c r="G371" i="1" s="1"/>
  <c r="J413" i="3" l="1"/>
  <c r="C414" i="3" s="1"/>
  <c r="F414" i="3" s="1"/>
  <c r="I371" i="1"/>
  <c r="G6" i="1" s="1"/>
  <c r="E371" i="1"/>
  <c r="D414" i="3" l="1"/>
  <c r="E414" i="3" s="1"/>
  <c r="I414" i="3"/>
  <c r="G414" i="3"/>
  <c r="G3" i="1"/>
  <c r="G4" i="1" s="1"/>
  <c r="G7" i="1" s="1"/>
  <c r="G8" i="1" s="1"/>
  <c r="J371" i="1"/>
  <c r="C13" i="2"/>
  <c r="F13" i="2" s="1"/>
  <c r="J414" i="3" l="1"/>
  <c r="C415" i="3" s="1"/>
  <c r="I415" i="3" s="1"/>
  <c r="D415" i="3"/>
  <c r="E415" i="3" s="1"/>
  <c r="F415" i="3"/>
  <c r="G415" i="3"/>
  <c r="D13" i="2"/>
  <c r="J415" i="3" l="1"/>
  <c r="C416" i="3" s="1"/>
  <c r="G416" i="3"/>
  <c r="D416" i="3"/>
  <c r="E416" i="3" s="1"/>
  <c r="I416" i="3"/>
  <c r="F416" i="3"/>
  <c r="G13" i="2"/>
  <c r="I13" i="2" s="1"/>
  <c r="E13" i="2"/>
  <c r="J416" i="3" l="1"/>
  <c r="C417" i="3" s="1"/>
  <c r="J13" i="2"/>
  <c r="C14" i="2" s="1"/>
  <c r="F14" i="2" s="1"/>
  <c r="D417" i="3" l="1"/>
  <c r="E417" i="3" s="1"/>
  <c r="G417" i="3"/>
  <c r="I417" i="3"/>
  <c r="F417" i="3"/>
  <c r="D14" i="2"/>
  <c r="G14" i="2" s="1"/>
  <c r="I14" i="2" s="1"/>
  <c r="J417" i="3" l="1"/>
  <c r="C418" i="3" s="1"/>
  <c r="E14" i="2"/>
  <c r="F418" i="3" l="1"/>
  <c r="G418" i="3"/>
  <c r="I418" i="3"/>
  <c r="D418" i="3"/>
  <c r="E418" i="3" s="1"/>
  <c r="J14" i="2"/>
  <c r="C15" i="2" s="1"/>
  <c r="J418" i="3" l="1"/>
  <c r="C419" i="3" s="1"/>
  <c r="F15" i="2"/>
  <c r="D15" i="2"/>
  <c r="F419" i="3" l="1"/>
  <c r="D419" i="3"/>
  <c r="E419" i="3" s="1"/>
  <c r="G419" i="3"/>
  <c r="I419" i="3"/>
  <c r="G15" i="2"/>
  <c r="I15" i="2" s="1"/>
  <c r="E15" i="2"/>
  <c r="J419" i="3" l="1"/>
  <c r="C420" i="3" s="1"/>
  <c r="F420" i="3" s="1"/>
  <c r="J15" i="2"/>
  <c r="C16" i="2" s="1"/>
  <c r="F16" i="2" s="1"/>
  <c r="D420" i="3" l="1"/>
  <c r="E420" i="3" s="1"/>
  <c r="I420" i="3"/>
  <c r="G420" i="3"/>
  <c r="D16" i="2"/>
  <c r="G16" i="2" s="1"/>
  <c r="I16" i="2" s="1"/>
  <c r="J420" i="3" l="1"/>
  <c r="C421" i="3" s="1"/>
  <c r="E16" i="2"/>
  <c r="J16" i="2" s="1"/>
  <c r="C17" i="2" s="1"/>
  <c r="F421" i="3" l="1"/>
  <c r="D421" i="3"/>
  <c r="E421" i="3" s="1"/>
  <c r="I421" i="3"/>
  <c r="G421" i="3"/>
  <c r="D17" i="2"/>
  <c r="F17" i="2"/>
  <c r="J421" i="3" l="1"/>
  <c r="C422" i="3" s="1"/>
  <c r="G422" i="3" s="1"/>
  <c r="D422" i="3"/>
  <c r="E422" i="3" s="1"/>
  <c r="I422" i="3"/>
  <c r="G17" i="2"/>
  <c r="I17" i="2" s="1"/>
  <c r="E17" i="2"/>
  <c r="F422" i="3" l="1"/>
  <c r="J422" i="3"/>
  <c r="C423" i="3" s="1"/>
  <c r="J17" i="2"/>
  <c r="C18" i="2" s="1"/>
  <c r="F18" i="2" s="1"/>
  <c r="I423" i="3" l="1"/>
  <c r="F423" i="3"/>
  <c r="G423" i="3"/>
  <c r="D423" i="3"/>
  <c r="E423" i="3" s="1"/>
  <c r="D18" i="2"/>
  <c r="G18" i="2" s="1"/>
  <c r="I18" i="2" s="1"/>
  <c r="J423" i="3" l="1"/>
  <c r="C424" i="3" s="1"/>
  <c r="G424" i="3" s="1"/>
  <c r="F424" i="3"/>
  <c r="D424" i="3"/>
  <c r="E424" i="3" s="1"/>
  <c r="E18" i="2"/>
  <c r="J18" i="2" s="1"/>
  <c r="C19" i="2" s="1"/>
  <c r="I424" i="3" l="1"/>
  <c r="J424" i="3"/>
  <c r="C425" i="3" s="1"/>
  <c r="D19" i="2"/>
  <c r="E19" i="2" s="1"/>
  <c r="F19" i="2"/>
  <c r="F425" i="3" l="1"/>
  <c r="G425" i="3"/>
  <c r="D425" i="3"/>
  <c r="E425" i="3" s="1"/>
  <c r="I425" i="3"/>
  <c r="G19" i="2"/>
  <c r="I19" i="2" s="1"/>
  <c r="J425" i="3" l="1"/>
  <c r="C426" i="3" s="1"/>
  <c r="J19" i="2"/>
  <c r="C20" i="2" s="1"/>
  <c r="D20" i="2" s="1"/>
  <c r="E20" i="2" s="1"/>
  <c r="D426" i="3" l="1"/>
  <c r="E426" i="3" s="1"/>
  <c r="F426" i="3"/>
  <c r="I426" i="3"/>
  <c r="G426" i="3"/>
  <c r="F20" i="2"/>
  <c r="G20" i="2" s="1"/>
  <c r="I20" i="2" s="1"/>
  <c r="J20" i="2" s="1"/>
  <c r="C21" i="2" s="1"/>
  <c r="F21" i="2" s="1"/>
  <c r="J426" i="3" l="1"/>
  <c r="C427" i="3" s="1"/>
  <c r="I427" i="3" s="1"/>
  <c r="D21" i="2"/>
  <c r="E21" i="2" s="1"/>
  <c r="D427" i="3" l="1"/>
  <c r="E427" i="3" s="1"/>
  <c r="J427" i="3" s="1"/>
  <c r="C428" i="3" s="1"/>
  <c r="I428" i="3" s="1"/>
  <c r="F427" i="3"/>
  <c r="G427" i="3"/>
  <c r="G21" i="2"/>
  <c r="I21" i="2" s="1"/>
  <c r="D428" i="3" l="1"/>
  <c r="E428" i="3" s="1"/>
  <c r="J428" i="3" s="1"/>
  <c r="C429" i="3" s="1"/>
  <c r="D429" i="3" s="1"/>
  <c r="E429" i="3" s="1"/>
  <c r="G428" i="3"/>
  <c r="F428" i="3"/>
  <c r="J21" i="2"/>
  <c r="C22" i="2" s="1"/>
  <c r="F22" i="2" s="1"/>
  <c r="F429" i="3" l="1"/>
  <c r="G429" i="3"/>
  <c r="I429" i="3"/>
  <c r="J429" i="3" s="1"/>
  <c r="C430" i="3" s="1"/>
  <c r="D22" i="2"/>
  <c r="E22" i="2" s="1"/>
  <c r="I430" i="3" l="1"/>
  <c r="G430" i="3"/>
  <c r="D430" i="3"/>
  <c r="E430" i="3" s="1"/>
  <c r="J430" i="3" s="1"/>
  <c r="C431" i="3" s="1"/>
  <c r="F430" i="3"/>
  <c r="G22" i="2"/>
  <c r="I22" i="2" s="1"/>
  <c r="J22" i="2" s="1"/>
  <c r="C23" i="2" s="1"/>
  <c r="D23" i="2" s="1"/>
  <c r="E23" i="2" s="1"/>
  <c r="G431" i="3" l="1"/>
  <c r="D431" i="3"/>
  <c r="E431" i="3" s="1"/>
  <c r="I431" i="3"/>
  <c r="F431" i="3"/>
  <c r="F23" i="2"/>
  <c r="G23" i="2" s="1"/>
  <c r="I23" i="2" s="1"/>
  <c r="J431" i="3" l="1"/>
  <c r="G6" i="3" a="1"/>
  <c r="G6" i="3" s="1"/>
  <c r="G5" i="3"/>
  <c r="H5" i="3" s="1"/>
  <c r="J23" i="2"/>
  <c r="C24" i="2" s="1"/>
  <c r="D24" i="2" s="1"/>
  <c r="E24" i="2" s="1"/>
  <c r="F24" i="2" l="1"/>
  <c r="G24" i="2" s="1"/>
  <c r="I24" i="2" s="1"/>
  <c r="J24" i="2" l="1"/>
  <c r="C25" i="2" s="1"/>
  <c r="F25" i="2" l="1"/>
  <c r="D25" i="2"/>
  <c r="E25" i="2" s="1"/>
  <c r="G25" i="2" l="1"/>
  <c r="I25" i="2" s="1"/>
  <c r="J25" i="2" l="1"/>
  <c r="C26" i="2" s="1"/>
  <c r="F26" i="2" l="1"/>
  <c r="D26" i="2"/>
  <c r="E26" i="2" s="1"/>
  <c r="G26" i="2" l="1"/>
  <c r="I26" i="2" s="1"/>
  <c r="J26" i="2" l="1"/>
  <c r="C27" i="2" s="1"/>
  <c r="F27" i="2" s="1"/>
  <c r="D27" i="2" l="1"/>
  <c r="E27" i="2" s="1"/>
  <c r="G27" i="2" l="1"/>
  <c r="I27" i="2" s="1"/>
  <c r="J27" i="2" s="1"/>
  <c r="C28" i="2" s="1"/>
  <c r="D28" i="2" s="1"/>
  <c r="F28" i="2" l="1"/>
  <c r="G28" i="2" s="1"/>
  <c r="I28" i="2" s="1"/>
  <c r="E28" i="2"/>
  <c r="J28" i="2" l="1"/>
  <c r="C29" i="2" s="1"/>
  <c r="F29" i="2" s="1"/>
  <c r="D29" i="2" l="1"/>
  <c r="E29" i="2" s="1"/>
  <c r="G29" i="2" l="1"/>
  <c r="I29" i="2" s="1"/>
  <c r="J29" i="2" s="1"/>
  <c r="C30" i="2" s="1"/>
  <c r="F30" i="2" l="1"/>
  <c r="D30" i="2"/>
  <c r="E30" i="2" s="1"/>
  <c r="G30" i="2" l="1"/>
  <c r="I30" i="2" s="1"/>
  <c r="J30" i="2" s="1"/>
  <c r="C31" i="2" s="1"/>
  <c r="F31" i="2" l="1"/>
  <c r="D31" i="2"/>
  <c r="E31" i="2" s="1"/>
  <c r="G31" i="2" l="1"/>
  <c r="I31" i="2" s="1"/>
  <c r="J31" i="2" l="1"/>
  <c r="C32" i="2" s="1"/>
  <c r="F32" i="2" l="1"/>
  <c r="D32" i="2"/>
  <c r="E32" i="2" s="1"/>
  <c r="G32" i="2" l="1"/>
  <c r="I32" i="2" s="1"/>
  <c r="J32" i="2" s="1"/>
  <c r="C33" i="2" s="1"/>
  <c r="F33" i="2" l="1"/>
  <c r="D33" i="2"/>
  <c r="E33" i="2" s="1"/>
  <c r="G33" i="2" l="1"/>
  <c r="I33" i="2" s="1"/>
  <c r="J33" i="2" l="1"/>
  <c r="C34" i="2" s="1"/>
  <c r="F34" i="2" l="1"/>
  <c r="D34" i="2"/>
  <c r="G34" i="2" l="1"/>
  <c r="I34" i="2" s="1"/>
  <c r="E34" i="2"/>
  <c r="J34" i="2" l="1"/>
  <c r="C35" i="2" s="1"/>
  <c r="F35" i="2" l="1"/>
  <c r="D35" i="2"/>
  <c r="E35" i="2" s="1"/>
  <c r="G35" i="2" l="1"/>
  <c r="I35" i="2" s="1"/>
  <c r="J35" i="2" s="1"/>
  <c r="C36" i="2" s="1"/>
  <c r="F36" i="2" l="1"/>
  <c r="D36" i="2"/>
  <c r="G36" i="2" l="1"/>
  <c r="I36" i="2" s="1"/>
  <c r="E36" i="2"/>
  <c r="J36" i="2" l="1"/>
  <c r="C37" i="2" s="1"/>
  <c r="F37" i="2" s="1"/>
  <c r="D37" i="2" l="1"/>
  <c r="E37" i="2" s="1"/>
  <c r="G37" i="2" l="1"/>
  <c r="I37" i="2" s="1"/>
  <c r="J37" i="2" s="1"/>
  <c r="C38" i="2" s="1"/>
  <c r="F38" i="2" s="1"/>
  <c r="D38" i="2" l="1"/>
  <c r="E38" i="2" s="1"/>
  <c r="G38" i="2" l="1"/>
  <c r="I38" i="2" s="1"/>
  <c r="J38" i="2" s="1"/>
  <c r="C39" i="2" s="1"/>
  <c r="F39" i="2" l="1"/>
  <c r="D39" i="2"/>
  <c r="E39" i="2" s="1"/>
  <c r="G39" i="2" l="1"/>
  <c r="I39" i="2" s="1"/>
  <c r="J39" i="2" s="1"/>
  <c r="C40" i="2" s="1"/>
  <c r="F40" i="2" s="1"/>
  <c r="D40" i="2" l="1"/>
  <c r="E40" i="2" s="1"/>
  <c r="G40" i="2" l="1"/>
  <c r="I40" i="2" s="1"/>
  <c r="J40" i="2" l="1"/>
  <c r="C41" i="2" s="1"/>
  <c r="F41" i="2" s="1"/>
  <c r="D41" i="2" l="1"/>
  <c r="E41" i="2" s="1"/>
  <c r="G41" i="2" l="1"/>
  <c r="I41" i="2" s="1"/>
  <c r="J41" i="2" l="1"/>
  <c r="C42" i="2" s="1"/>
  <c r="F42" i="2" s="1"/>
  <c r="D42" i="2" l="1"/>
  <c r="G42" i="2" s="1"/>
  <c r="I42" i="2" s="1"/>
  <c r="E42" i="2" l="1"/>
  <c r="J42" i="2" s="1"/>
  <c r="C43" i="2" s="1"/>
  <c r="F43" i="2" s="1"/>
  <c r="D43" i="2" l="1"/>
  <c r="E43" i="2" s="1"/>
  <c r="G43" i="2" l="1"/>
  <c r="I43" i="2" s="1"/>
  <c r="J43" i="2" s="1"/>
  <c r="C44" i="2" s="1"/>
  <c r="F44" i="2" s="1"/>
  <c r="D44" i="2" l="1"/>
  <c r="G44" i="2" s="1"/>
  <c r="I44" i="2" s="1"/>
  <c r="E44" i="2" l="1"/>
  <c r="J44" i="2" s="1"/>
  <c r="C45" i="2" s="1"/>
  <c r="F45" i="2" s="1"/>
  <c r="D45" i="2" l="1"/>
  <c r="E45" i="2" s="1"/>
  <c r="G45" i="2" l="1"/>
  <c r="I45" i="2" s="1"/>
  <c r="J45" i="2" s="1"/>
  <c r="C46" i="2" s="1"/>
  <c r="F46" i="2" s="1"/>
  <c r="D46" i="2" l="1"/>
  <c r="G46" i="2" s="1"/>
  <c r="I46" i="2" s="1"/>
  <c r="E46" i="2" l="1"/>
  <c r="J46" i="2" s="1"/>
  <c r="C47" i="2" s="1"/>
  <c r="F47" i="2" l="1"/>
  <c r="D47" i="2"/>
  <c r="E47" i="2" s="1"/>
  <c r="G47" i="2" l="1"/>
  <c r="I47" i="2" s="1"/>
  <c r="J47" i="2" l="1"/>
  <c r="C48" i="2" s="1"/>
  <c r="F48" i="2" l="1"/>
  <c r="D48" i="2"/>
  <c r="E48" i="2" s="1"/>
  <c r="G48" i="2" l="1"/>
  <c r="I48" i="2" s="1"/>
  <c r="J48" i="2" l="1"/>
  <c r="C49" i="2" s="1"/>
  <c r="F49" i="2" l="1"/>
  <c r="D49" i="2"/>
  <c r="E49" i="2" s="1"/>
  <c r="G49" i="2" l="1"/>
  <c r="I49" i="2" s="1"/>
  <c r="J49" i="2" l="1"/>
  <c r="C50" i="2" s="1"/>
  <c r="F50" i="2" s="1"/>
  <c r="D50" i="2" l="1"/>
  <c r="E50" i="2" s="1"/>
  <c r="G50" i="2" l="1"/>
  <c r="I50" i="2" s="1"/>
  <c r="J50" i="2" s="1"/>
  <c r="C51" i="2" s="1"/>
  <c r="F51" i="2" l="1"/>
  <c r="D51" i="2"/>
  <c r="E51" i="2" s="1"/>
  <c r="G51" i="2" l="1"/>
  <c r="I51" i="2" s="1"/>
  <c r="J51" i="2" l="1"/>
  <c r="C52" i="2" s="1"/>
  <c r="F52" i="2" l="1"/>
  <c r="D52" i="2"/>
  <c r="E52" i="2" s="1"/>
  <c r="G52" i="2" l="1"/>
  <c r="I52" i="2" s="1"/>
  <c r="J52" i="2" s="1"/>
  <c r="C53" i="2" s="1"/>
  <c r="F53" i="2" l="1"/>
  <c r="D53" i="2"/>
  <c r="E53" i="2" s="1"/>
  <c r="G53" i="2" l="1"/>
  <c r="I53" i="2" s="1"/>
  <c r="J53" i="2" l="1"/>
  <c r="C54" i="2" s="1"/>
  <c r="F54" i="2" l="1"/>
  <c r="D54" i="2"/>
  <c r="E54" i="2" s="1"/>
  <c r="G54" i="2" l="1"/>
  <c r="I54" i="2" s="1"/>
  <c r="J54" i="2" s="1"/>
  <c r="C55" i="2" s="1"/>
  <c r="F55" i="2" l="1"/>
  <c r="D55" i="2"/>
  <c r="G55" i="2" l="1"/>
  <c r="I55" i="2" s="1"/>
  <c r="E55" i="2"/>
  <c r="J55" i="2" l="1"/>
  <c r="C56" i="2" s="1"/>
  <c r="D56" i="2" s="1"/>
  <c r="E56" i="2" s="1"/>
  <c r="F56" i="2" l="1"/>
  <c r="G56" i="2" s="1"/>
  <c r="I56" i="2" s="1"/>
  <c r="J56" i="2" s="1"/>
  <c r="C57" i="2" s="1"/>
  <c r="F57" i="2" l="1"/>
  <c r="D57" i="2"/>
  <c r="E57" i="2" s="1"/>
  <c r="G57" i="2" l="1"/>
  <c r="I57" i="2" s="1"/>
  <c r="J57" i="2" s="1"/>
  <c r="C58" i="2" s="1"/>
  <c r="F58" i="2" s="1"/>
  <c r="D58" i="2" l="1"/>
  <c r="G58" i="2" s="1"/>
  <c r="I58" i="2" s="1"/>
  <c r="E58" i="2" l="1"/>
  <c r="J58" i="2" l="1"/>
  <c r="C59" i="2" s="1"/>
  <c r="F59" i="2" l="1"/>
  <c r="D59" i="2"/>
  <c r="E59" i="2" s="1"/>
  <c r="G59" i="2" l="1"/>
  <c r="I59" i="2" s="1"/>
  <c r="J59" i="2" l="1"/>
  <c r="C60" i="2" s="1"/>
  <c r="D60" i="2" s="1"/>
  <c r="E60" i="2" s="1"/>
  <c r="F60" i="2" l="1"/>
  <c r="G60" i="2" s="1"/>
  <c r="I60" i="2" s="1"/>
  <c r="J60" i="2" s="1"/>
  <c r="C61" i="2" s="1"/>
  <c r="D61" i="2" l="1"/>
  <c r="E61" i="2" s="1"/>
  <c r="F61" i="2"/>
  <c r="G61" i="2" l="1"/>
  <c r="I61" i="2" s="1"/>
  <c r="J61" i="2"/>
  <c r="C62" i="2" s="1"/>
  <c r="F62" i="2" l="1"/>
  <c r="D62" i="2"/>
  <c r="E62" i="2" s="1"/>
  <c r="G62" i="2" l="1"/>
  <c r="I62" i="2" s="1"/>
  <c r="J62" i="2" s="1"/>
  <c r="C63" i="2" s="1"/>
  <c r="F63" i="2" l="1"/>
  <c r="D63" i="2"/>
  <c r="E63" i="2" s="1"/>
  <c r="G63" i="2" l="1"/>
  <c r="I63" i="2" s="1"/>
  <c r="J63" i="2" l="1"/>
  <c r="C64" i="2" s="1"/>
  <c r="F64" i="2" s="1"/>
  <c r="D64" i="2" l="1"/>
  <c r="E64" i="2" s="1"/>
  <c r="G64" i="2" l="1"/>
  <c r="I64" i="2" s="1"/>
  <c r="J64" i="2" l="1"/>
  <c r="C65" i="2" s="1"/>
  <c r="F65" i="2" l="1"/>
  <c r="D65" i="2"/>
  <c r="E65" i="2" s="1"/>
  <c r="G65" i="2" l="1"/>
  <c r="I65" i="2" s="1"/>
  <c r="J65" i="2" l="1"/>
  <c r="C66" i="2" s="1"/>
  <c r="D66" i="2" l="1"/>
  <c r="E66" i="2" s="1"/>
  <c r="F66" i="2"/>
  <c r="G66" i="2" l="1"/>
  <c r="I66" i="2" s="1"/>
  <c r="J66" i="2" s="1"/>
  <c r="C67" i="2" s="1"/>
  <c r="F67" i="2" l="1"/>
  <c r="D67" i="2"/>
  <c r="E67" i="2" s="1"/>
  <c r="G67" i="2" l="1"/>
  <c r="I67" i="2" s="1"/>
  <c r="J67" i="2" s="1"/>
  <c r="C68" i="2" s="1"/>
  <c r="D68" i="2" l="1"/>
  <c r="E68" i="2" s="1"/>
  <c r="F68" i="2"/>
  <c r="G68" i="2" l="1"/>
  <c r="I68" i="2" s="1"/>
  <c r="J68" i="2" s="1"/>
  <c r="C69" i="2" s="1"/>
  <c r="F69" i="2" l="1"/>
  <c r="D69" i="2"/>
  <c r="E69" i="2" s="1"/>
  <c r="G69" i="2" l="1"/>
  <c r="I69" i="2" s="1"/>
  <c r="J69" i="2" s="1"/>
  <c r="C70" i="2" s="1"/>
  <c r="D70" i="2" l="1"/>
  <c r="E70" i="2" s="1"/>
  <c r="F70" i="2"/>
  <c r="G70" i="2" l="1"/>
  <c r="I70" i="2" s="1"/>
  <c r="J70" i="2"/>
  <c r="C71" i="2" s="1"/>
  <c r="F71" i="2" l="1"/>
  <c r="D71" i="2"/>
  <c r="E71" i="2" s="1"/>
  <c r="G71" i="2" l="1"/>
  <c r="I71" i="2" s="1"/>
  <c r="J71" i="2" l="1"/>
  <c r="C72" i="2" s="1"/>
  <c r="F72" i="2" l="1"/>
  <c r="D72" i="2"/>
  <c r="E72" i="2" s="1"/>
  <c r="G72" i="2" l="1"/>
  <c r="I72" i="2" s="1"/>
  <c r="J72" i="2" s="1"/>
  <c r="C73" i="2" s="1"/>
  <c r="F73" i="2" l="1"/>
  <c r="D73" i="2"/>
  <c r="E73" i="2" s="1"/>
  <c r="G73" i="2" l="1"/>
  <c r="I73" i="2" s="1"/>
  <c r="J73" i="2" l="1"/>
  <c r="C74" i="2" s="1"/>
  <c r="D74" i="2" l="1"/>
  <c r="E74" i="2" s="1"/>
  <c r="F74" i="2"/>
  <c r="G74" i="2" s="1"/>
  <c r="I74" i="2" s="1"/>
  <c r="J74" i="2" l="1"/>
  <c r="C75" i="2" s="1"/>
  <c r="F75" i="2" l="1"/>
  <c r="D75" i="2"/>
  <c r="E75" i="2" s="1"/>
  <c r="G75" i="2" l="1"/>
  <c r="I75" i="2" s="1"/>
  <c r="J75" i="2" s="1"/>
  <c r="C76" i="2" s="1"/>
  <c r="F76" i="2" l="1"/>
  <c r="D76" i="2"/>
  <c r="E76" i="2" s="1"/>
  <c r="G76" i="2" l="1"/>
  <c r="I76" i="2" s="1"/>
  <c r="J76" i="2" s="1"/>
  <c r="C77" i="2" s="1"/>
  <c r="F77" i="2" l="1"/>
  <c r="D77" i="2"/>
  <c r="E77" i="2" s="1"/>
  <c r="G77" i="2" l="1"/>
  <c r="I77" i="2" s="1"/>
  <c r="J77" i="2" l="1"/>
  <c r="C78" i="2" s="1"/>
  <c r="F78" i="2" l="1"/>
  <c r="D78" i="2"/>
  <c r="E78" i="2" s="1"/>
  <c r="G78" i="2" l="1"/>
  <c r="I78" i="2" s="1"/>
  <c r="J78" i="2" s="1"/>
  <c r="C79" i="2" s="1"/>
  <c r="F79" i="2" l="1"/>
  <c r="D79" i="2"/>
  <c r="E79" i="2" s="1"/>
  <c r="G79" i="2" l="1"/>
  <c r="I79" i="2" s="1"/>
  <c r="J79" i="2" s="1"/>
  <c r="C80" i="2" s="1"/>
  <c r="F80" i="2" l="1"/>
  <c r="D80" i="2"/>
  <c r="E80" i="2" s="1"/>
  <c r="G80" i="2" l="1"/>
  <c r="I80" i="2" s="1"/>
  <c r="J80" i="2" s="1"/>
  <c r="C81" i="2" s="1"/>
  <c r="F81" i="2" l="1"/>
  <c r="D81" i="2"/>
  <c r="E81" i="2" s="1"/>
  <c r="G81" i="2" l="1"/>
  <c r="I81" i="2" s="1"/>
  <c r="J81" i="2" s="1"/>
  <c r="C82" i="2" s="1"/>
  <c r="D82" i="2" l="1"/>
  <c r="E82" i="2" s="1"/>
  <c r="F82" i="2"/>
  <c r="G82" i="2" l="1"/>
  <c r="I82" i="2" s="1"/>
  <c r="J82" i="2" s="1"/>
  <c r="C83" i="2" s="1"/>
  <c r="D83" i="2" l="1"/>
  <c r="E83" i="2" s="1"/>
  <c r="F83" i="2"/>
  <c r="G83" i="2" s="1"/>
  <c r="I83" i="2" s="1"/>
  <c r="J83" i="2" l="1"/>
  <c r="C84" i="2" s="1"/>
  <c r="F84" i="2" l="1"/>
  <c r="D84" i="2"/>
  <c r="E84" i="2" s="1"/>
  <c r="G84" i="2" l="1"/>
  <c r="I84" i="2" s="1"/>
  <c r="J84" i="2" s="1"/>
  <c r="C85" i="2" s="1"/>
  <c r="D85" i="2" l="1"/>
  <c r="E85" i="2" s="1"/>
  <c r="F85" i="2"/>
  <c r="G85" i="2" s="1"/>
  <c r="I85" i="2" s="1"/>
  <c r="J85" i="2" l="1"/>
  <c r="C86" i="2" s="1"/>
  <c r="F86" i="2" l="1"/>
  <c r="D86" i="2"/>
  <c r="E86" i="2" s="1"/>
  <c r="G86" i="2" l="1"/>
  <c r="I86" i="2" s="1"/>
  <c r="J86" i="2" s="1"/>
  <c r="C87" i="2" s="1"/>
  <c r="F87" i="2" l="1"/>
  <c r="D87" i="2"/>
  <c r="E87" i="2" s="1"/>
  <c r="G87" i="2" l="1"/>
  <c r="I87" i="2" s="1"/>
  <c r="J87" i="2" l="1"/>
  <c r="C88" i="2" s="1"/>
  <c r="F88" i="2" l="1"/>
  <c r="D88" i="2"/>
  <c r="E88" i="2" s="1"/>
  <c r="G88" i="2" l="1"/>
  <c r="I88" i="2" s="1"/>
  <c r="J88" i="2" s="1"/>
  <c r="C89" i="2" s="1"/>
  <c r="D89" i="2" l="1"/>
  <c r="E89" i="2" s="1"/>
  <c r="F89" i="2"/>
  <c r="G89" i="2" s="1"/>
  <c r="I89" i="2" s="1"/>
  <c r="J89" i="2" l="1"/>
  <c r="C90" i="2" s="1"/>
  <c r="D90" i="2" s="1"/>
  <c r="E90" i="2" s="1"/>
  <c r="F90" i="2" l="1"/>
  <c r="G90" i="2" s="1"/>
  <c r="I90" i="2" s="1"/>
  <c r="J90" i="2" s="1"/>
  <c r="C91" i="2" s="1"/>
  <c r="F91" i="2" s="1"/>
  <c r="D91" i="2" l="1"/>
  <c r="E91" i="2" s="1"/>
  <c r="G91" i="2" l="1"/>
  <c r="I91" i="2" s="1"/>
  <c r="J91" i="2" s="1"/>
  <c r="C92" i="2" s="1"/>
  <c r="F92" i="2" l="1"/>
  <c r="D92" i="2"/>
  <c r="E92" i="2" s="1"/>
  <c r="G92" i="2" l="1"/>
  <c r="I92" i="2" s="1"/>
  <c r="J92" i="2" s="1"/>
  <c r="C93" i="2" s="1"/>
  <c r="D93" i="2" l="1"/>
  <c r="E93" i="2" s="1"/>
  <c r="F93" i="2"/>
  <c r="G93" i="2" l="1"/>
  <c r="I93" i="2" s="1"/>
  <c r="J93" i="2"/>
  <c r="C94" i="2" s="1"/>
  <c r="D94" i="2" s="1"/>
  <c r="E94" i="2" s="1"/>
  <c r="F94" i="2" l="1"/>
  <c r="G94" i="2" s="1"/>
  <c r="I94" i="2" s="1"/>
  <c r="J94" i="2" l="1"/>
  <c r="C95" i="2" s="1"/>
  <c r="F95" i="2" l="1"/>
  <c r="D95" i="2"/>
  <c r="E95" i="2" s="1"/>
  <c r="G95" i="2" l="1"/>
  <c r="I95" i="2" s="1"/>
  <c r="J95" i="2" s="1"/>
  <c r="C96" i="2" s="1"/>
  <c r="F96" i="2" l="1"/>
  <c r="D96" i="2"/>
  <c r="E96" i="2" s="1"/>
  <c r="G96" i="2" l="1"/>
  <c r="I96" i="2" s="1"/>
  <c r="J96" i="2" l="1"/>
  <c r="C97" i="2" s="1"/>
  <c r="F97" i="2" l="1"/>
  <c r="D97" i="2"/>
  <c r="E97" i="2" s="1"/>
  <c r="G97" i="2" l="1"/>
  <c r="I97" i="2" s="1"/>
  <c r="J97" i="2" l="1"/>
  <c r="C98" i="2" s="1"/>
  <c r="D98" i="2" s="1"/>
  <c r="E98" i="2" s="1"/>
  <c r="F98" i="2" l="1"/>
  <c r="G98" i="2" s="1"/>
  <c r="I98" i="2" s="1"/>
  <c r="J98" i="2" s="1"/>
  <c r="C99" i="2" s="1"/>
  <c r="F99" i="2" l="1"/>
  <c r="D99" i="2"/>
  <c r="E99" i="2" s="1"/>
  <c r="G99" i="2" l="1"/>
  <c r="I99" i="2" s="1"/>
  <c r="J99" i="2" s="1"/>
  <c r="C100" i="2" s="1"/>
  <c r="D100" i="2" l="1"/>
  <c r="E100" i="2" s="1"/>
  <c r="F100" i="2"/>
  <c r="G100" i="2" l="1"/>
  <c r="I100" i="2" s="1"/>
  <c r="J100" i="2" s="1"/>
  <c r="C101" i="2" s="1"/>
  <c r="F101" i="2" l="1"/>
  <c r="D101" i="2"/>
  <c r="E101" i="2" s="1"/>
  <c r="G101" i="2" l="1"/>
  <c r="I101" i="2" s="1"/>
  <c r="J101" i="2" s="1"/>
  <c r="C102" i="2" s="1"/>
  <c r="F102" i="2" l="1"/>
  <c r="D102" i="2"/>
  <c r="G102" i="2" l="1"/>
  <c r="I102" i="2" s="1"/>
  <c r="E102" i="2"/>
  <c r="J102" i="2" l="1"/>
  <c r="C103" i="2" s="1"/>
  <c r="D103" i="2"/>
  <c r="E103" i="2" s="1"/>
  <c r="F103" i="2"/>
  <c r="G103" i="2" l="1"/>
  <c r="I103" i="2" s="1"/>
  <c r="J103" i="2" l="1"/>
  <c r="C104" i="2" s="1"/>
  <c r="F104" i="2" l="1"/>
  <c r="D104" i="2"/>
  <c r="E104" i="2" s="1"/>
  <c r="G104" i="2" l="1"/>
  <c r="I104" i="2" s="1"/>
  <c r="J104" i="2" s="1"/>
  <c r="C105" i="2" s="1"/>
  <c r="D105" i="2" l="1"/>
  <c r="E105" i="2" s="1"/>
  <c r="F105" i="2"/>
  <c r="G105" i="2" l="1"/>
  <c r="I105" i="2" s="1"/>
  <c r="J105" i="2" s="1"/>
  <c r="C106" i="2" s="1"/>
  <c r="F106" i="2" s="1"/>
  <c r="D106" i="2" l="1"/>
  <c r="E106" i="2" s="1"/>
  <c r="G106" i="2" l="1"/>
  <c r="I106" i="2" s="1"/>
  <c r="J106" i="2" s="1"/>
  <c r="C107" i="2" s="1"/>
  <c r="D107" i="2" s="1"/>
  <c r="E107" i="2" s="1"/>
  <c r="F107" i="2" l="1"/>
  <c r="G107" i="2" s="1"/>
  <c r="I107" i="2" s="1"/>
  <c r="J107" i="2" s="1"/>
  <c r="C108" i="2" s="1"/>
  <c r="F108" i="2" s="1"/>
  <c r="D108" i="2" l="1"/>
  <c r="G108" i="2" s="1"/>
  <c r="I108" i="2" s="1"/>
  <c r="E108" i="2" l="1"/>
  <c r="J108" i="2" s="1"/>
  <c r="C109" i="2" s="1"/>
  <c r="D109" i="2" l="1"/>
  <c r="E109" i="2" s="1"/>
  <c r="F109" i="2"/>
  <c r="G109" i="2" l="1"/>
  <c r="I109" i="2" s="1"/>
  <c r="J109" i="2" l="1"/>
  <c r="C110" i="2" s="1"/>
  <c r="F110" i="2" l="1"/>
  <c r="D110" i="2"/>
  <c r="E110" i="2" s="1"/>
  <c r="G110" i="2" l="1"/>
  <c r="I110" i="2" s="1"/>
  <c r="J110" i="2" s="1"/>
  <c r="C111" i="2" s="1"/>
  <c r="D111" i="2" l="1"/>
  <c r="E111" i="2" s="1"/>
  <c r="F111" i="2"/>
  <c r="G111" i="2" l="1"/>
  <c r="I111" i="2" s="1"/>
  <c r="J111" i="2" s="1"/>
  <c r="C112" i="2" s="1"/>
  <c r="D112" i="2" s="1"/>
  <c r="E112" i="2" s="1"/>
  <c r="F112" i="2" l="1"/>
  <c r="G112" i="2" s="1"/>
  <c r="I112" i="2" s="1"/>
  <c r="J112" i="2" s="1"/>
  <c r="C113" i="2" s="1"/>
  <c r="F113" i="2" l="1"/>
  <c r="D113" i="2"/>
  <c r="E113" i="2" s="1"/>
  <c r="G113" i="2" l="1"/>
  <c r="I113" i="2" s="1"/>
  <c r="J113" i="2" s="1"/>
  <c r="C114" i="2" s="1"/>
  <c r="F114" i="2" l="1"/>
  <c r="D114" i="2"/>
  <c r="E114" i="2" s="1"/>
  <c r="G114" i="2" l="1"/>
  <c r="I114" i="2" s="1"/>
  <c r="J114" i="2" s="1"/>
  <c r="C115" i="2" s="1"/>
  <c r="F115" i="2" l="1"/>
  <c r="D115" i="2"/>
  <c r="E115" i="2" s="1"/>
  <c r="G115" i="2" l="1"/>
  <c r="I115" i="2" s="1"/>
  <c r="J115" i="2" s="1"/>
  <c r="C116" i="2" s="1"/>
  <c r="D116" i="2" l="1"/>
  <c r="E116" i="2" s="1"/>
  <c r="F116" i="2"/>
  <c r="G116" i="2" l="1"/>
  <c r="I116" i="2" s="1"/>
  <c r="J116" i="2" l="1"/>
  <c r="C117" i="2" s="1"/>
  <c r="D117" i="2" l="1"/>
  <c r="E117" i="2" s="1"/>
  <c r="F117" i="2"/>
  <c r="G117" i="2" l="1"/>
  <c r="I117" i="2" s="1"/>
  <c r="J117" i="2"/>
  <c r="C118" i="2" s="1"/>
  <c r="D118" i="2" l="1"/>
  <c r="F118" i="2"/>
  <c r="G118" i="2" l="1"/>
  <c r="I118" i="2" s="1"/>
  <c r="E118" i="2"/>
  <c r="J118" i="2" l="1"/>
  <c r="C119" i="2" s="1"/>
  <c r="F119" i="2" l="1"/>
  <c r="D119" i="2"/>
  <c r="E119" i="2" s="1"/>
  <c r="G119" i="2" l="1"/>
  <c r="I119" i="2" s="1"/>
  <c r="J119" i="2" l="1"/>
  <c r="C120" i="2" s="1"/>
  <c r="F120" i="2" l="1"/>
  <c r="D120" i="2"/>
  <c r="E120" i="2" s="1"/>
  <c r="G120" i="2" l="1"/>
  <c r="I120" i="2" s="1"/>
  <c r="J120" i="2" s="1"/>
  <c r="C121" i="2" s="1"/>
  <c r="F121" i="2" l="1"/>
  <c r="D121" i="2"/>
  <c r="E121" i="2" s="1"/>
  <c r="G121" i="2" l="1"/>
  <c r="I121" i="2" s="1"/>
  <c r="J121" i="2" s="1"/>
  <c r="C122" i="2" s="1"/>
  <c r="F122" i="2" l="1"/>
  <c r="D122" i="2"/>
  <c r="E122" i="2" s="1"/>
  <c r="G122" i="2" l="1"/>
  <c r="I122" i="2" s="1"/>
  <c r="J122" i="2" l="1"/>
  <c r="C123" i="2" s="1"/>
  <c r="F123" i="2" s="1"/>
  <c r="D123" i="2" l="1"/>
  <c r="E123" i="2" s="1"/>
  <c r="G123" i="2" l="1"/>
  <c r="I123" i="2" s="1"/>
  <c r="J123" i="2" s="1"/>
  <c r="C124" i="2" s="1"/>
  <c r="D124" i="2" s="1"/>
  <c r="E124" i="2" s="1"/>
  <c r="F124" i="2" l="1"/>
  <c r="G124" i="2" s="1"/>
  <c r="I124" i="2" s="1"/>
  <c r="J124" i="2" s="1"/>
  <c r="C125" i="2" s="1"/>
  <c r="D125" i="2" l="1"/>
  <c r="E125" i="2" s="1"/>
  <c r="F125" i="2"/>
  <c r="G125" i="2" l="1"/>
  <c r="I125" i="2" s="1"/>
  <c r="J125" i="2" s="1"/>
  <c r="C126" i="2" s="1"/>
  <c r="D126" i="2" l="1"/>
  <c r="E126" i="2" s="1"/>
  <c r="F126" i="2"/>
  <c r="G126" i="2" l="1"/>
  <c r="I126" i="2" s="1"/>
  <c r="J126" i="2" s="1"/>
  <c r="C127" i="2" s="1"/>
  <c r="D127" i="2" s="1"/>
  <c r="E127" i="2" s="1"/>
  <c r="F127" i="2" l="1"/>
  <c r="G127" i="2" s="1"/>
  <c r="I127" i="2" s="1"/>
  <c r="J127" i="2" l="1"/>
  <c r="C128" i="2" s="1"/>
  <c r="F128" i="2" l="1"/>
  <c r="D128" i="2"/>
  <c r="E128" i="2" s="1"/>
  <c r="G128" i="2" l="1"/>
  <c r="I128" i="2" s="1"/>
  <c r="J128" i="2" l="1"/>
  <c r="C129" i="2" s="1"/>
  <c r="D129" i="2" s="1"/>
  <c r="E129" i="2" s="1"/>
  <c r="F129" i="2" l="1"/>
  <c r="G129" i="2" s="1"/>
  <c r="I129" i="2" s="1"/>
  <c r="J129" i="2" s="1"/>
  <c r="C130" i="2" s="1"/>
  <c r="D130" i="2" l="1"/>
  <c r="E130" i="2" s="1"/>
  <c r="F130" i="2"/>
  <c r="G130" i="2" l="1"/>
  <c r="I130" i="2" s="1"/>
  <c r="J130" i="2" s="1"/>
  <c r="C131" i="2" s="1"/>
  <c r="D131" i="2" l="1"/>
  <c r="E131" i="2" s="1"/>
  <c r="F131" i="2"/>
  <c r="G131" i="2" l="1"/>
  <c r="I131" i="2" s="1"/>
  <c r="J131" i="2" s="1"/>
  <c r="C132" i="2" s="1"/>
  <c r="F132" i="2" l="1"/>
  <c r="D132" i="2"/>
  <c r="E132" i="2" s="1"/>
  <c r="G132" i="2" l="1"/>
  <c r="I132" i="2" s="1"/>
  <c r="J132" i="2" l="1"/>
  <c r="C133" i="2" s="1"/>
  <c r="D133" i="2" s="1"/>
  <c r="E133" i="2" s="1"/>
  <c r="F133" i="2" l="1"/>
  <c r="G133" i="2" s="1"/>
  <c r="I133" i="2" s="1"/>
  <c r="J133" i="2" l="1"/>
  <c r="C134" i="2" s="1"/>
  <c r="F134" i="2" s="1"/>
  <c r="D134" i="2" l="1"/>
  <c r="E134" i="2" s="1"/>
  <c r="G134" i="2" l="1"/>
  <c r="I134" i="2" s="1"/>
  <c r="J134" i="2" l="1"/>
  <c r="C135" i="2" s="1"/>
  <c r="F135" i="2" l="1"/>
  <c r="D135" i="2"/>
  <c r="E135" i="2" s="1"/>
  <c r="G135" i="2" l="1"/>
  <c r="I135" i="2" s="1"/>
  <c r="J135" i="2" l="1"/>
  <c r="C136" i="2" s="1"/>
  <c r="F136" i="2" l="1"/>
  <c r="D136" i="2"/>
  <c r="E136" i="2" s="1"/>
  <c r="G136" i="2" l="1"/>
  <c r="I136" i="2" s="1"/>
  <c r="J136" i="2" s="1"/>
  <c r="C137" i="2" s="1"/>
  <c r="D137" i="2" l="1"/>
  <c r="E137" i="2" s="1"/>
  <c r="F137" i="2"/>
  <c r="G137" i="2" s="1"/>
  <c r="I137" i="2" s="1"/>
  <c r="J137" i="2" l="1"/>
  <c r="C138" i="2" s="1"/>
  <c r="F138" i="2" l="1"/>
  <c r="D138" i="2"/>
  <c r="E138" i="2" s="1"/>
  <c r="G138" i="2" l="1"/>
  <c r="I138" i="2" s="1"/>
  <c r="J138" i="2" l="1"/>
  <c r="C139" i="2" s="1"/>
  <c r="F139" i="2" l="1"/>
  <c r="D139" i="2"/>
  <c r="E139" i="2" s="1"/>
  <c r="G139" i="2" l="1"/>
  <c r="I139" i="2" s="1"/>
  <c r="J139" i="2" s="1"/>
  <c r="C140" i="2" s="1"/>
  <c r="F140" i="2" l="1"/>
  <c r="D140" i="2"/>
  <c r="E140" i="2" s="1"/>
  <c r="G140" i="2" l="1"/>
  <c r="I140" i="2" s="1"/>
  <c r="J140" i="2" s="1"/>
  <c r="C141" i="2" s="1"/>
  <c r="D141" i="2" l="1"/>
  <c r="E141" i="2" s="1"/>
  <c r="F141" i="2"/>
  <c r="G141" i="2" l="1"/>
  <c r="I141" i="2" s="1"/>
  <c r="J141" i="2" s="1"/>
  <c r="C142" i="2" s="1"/>
  <c r="D142" i="2" l="1"/>
  <c r="E142" i="2" s="1"/>
  <c r="F142" i="2"/>
  <c r="G142" i="2" l="1"/>
  <c r="I142" i="2" s="1"/>
  <c r="J142" i="2" s="1"/>
  <c r="C143" i="2" s="1"/>
  <c r="D143" i="2" l="1"/>
  <c r="E143" i="2" s="1"/>
  <c r="F143" i="2"/>
  <c r="G143" i="2" l="1"/>
  <c r="I143" i="2" s="1"/>
  <c r="J143" i="2" s="1"/>
  <c r="C144" i="2" s="1"/>
  <c r="F144" i="2" l="1"/>
  <c r="D144" i="2"/>
  <c r="E144" i="2" s="1"/>
  <c r="G144" i="2" l="1"/>
  <c r="I144" i="2" s="1"/>
  <c r="J144" i="2" s="1"/>
  <c r="C145" i="2" s="1"/>
  <c r="D145" i="2" l="1"/>
  <c r="E145" i="2" s="1"/>
  <c r="F145" i="2"/>
  <c r="G145" i="2" l="1"/>
  <c r="I145" i="2" s="1"/>
  <c r="J145" i="2" s="1"/>
  <c r="C146" i="2" s="1"/>
  <c r="F146" i="2" l="1"/>
  <c r="D146" i="2"/>
  <c r="E146" i="2" s="1"/>
  <c r="G146" i="2" l="1"/>
  <c r="I146" i="2" s="1"/>
  <c r="J146" i="2" l="1"/>
  <c r="C147" i="2" s="1"/>
  <c r="F147" i="2" l="1"/>
  <c r="D147" i="2"/>
  <c r="E147" i="2" s="1"/>
  <c r="G147" i="2" l="1"/>
  <c r="I147" i="2" s="1"/>
  <c r="J147" i="2" l="1"/>
  <c r="C148" i="2" s="1"/>
  <c r="D148" i="2" l="1"/>
  <c r="E148" i="2" s="1"/>
  <c r="F148" i="2"/>
  <c r="G148" i="2" s="1"/>
  <c r="I148" i="2" s="1"/>
  <c r="J148" i="2" l="1"/>
  <c r="C149" i="2" s="1"/>
  <c r="D149" i="2" l="1"/>
  <c r="E149" i="2" s="1"/>
  <c r="F149" i="2"/>
  <c r="G149" i="2" l="1"/>
  <c r="I149" i="2" s="1"/>
  <c r="J149" i="2" s="1"/>
  <c r="C150" i="2" s="1"/>
  <c r="F150" i="2" l="1"/>
  <c r="D150" i="2"/>
  <c r="E150" i="2" s="1"/>
  <c r="G150" i="2" l="1"/>
  <c r="I150" i="2" s="1"/>
  <c r="J150" i="2" s="1"/>
  <c r="C151" i="2" s="1"/>
  <c r="F151" i="2" l="1"/>
  <c r="D151" i="2"/>
  <c r="E151" i="2" s="1"/>
  <c r="G151" i="2" l="1"/>
  <c r="I151" i="2" s="1"/>
  <c r="J151" i="2" l="1"/>
  <c r="C152" i="2" s="1"/>
  <c r="D152" i="2" l="1"/>
  <c r="E152" i="2" s="1"/>
  <c r="F152" i="2"/>
  <c r="G152" i="2" l="1"/>
  <c r="I152" i="2" s="1"/>
  <c r="J152" i="2" s="1"/>
  <c r="C153" i="2" s="1"/>
  <c r="D153" i="2" l="1"/>
  <c r="E153" i="2" s="1"/>
  <c r="F153" i="2"/>
  <c r="G153" i="2" l="1"/>
  <c r="I153" i="2" s="1"/>
  <c r="J153" i="2" s="1"/>
  <c r="C154" i="2" s="1"/>
  <c r="F154" i="2" l="1"/>
  <c r="D154" i="2"/>
  <c r="E154" i="2" s="1"/>
  <c r="G154" i="2" l="1"/>
  <c r="I154" i="2" s="1"/>
  <c r="J154" i="2" l="1"/>
  <c r="C155" i="2" s="1"/>
  <c r="F155" i="2" l="1"/>
  <c r="D155" i="2"/>
  <c r="E155" i="2" s="1"/>
  <c r="G155" i="2" l="1"/>
  <c r="I155" i="2" s="1"/>
  <c r="J155" i="2" s="1"/>
  <c r="C156" i="2" s="1"/>
  <c r="D156" i="2" l="1"/>
  <c r="E156" i="2" s="1"/>
  <c r="F156" i="2"/>
  <c r="G156" i="2" l="1"/>
  <c r="I156" i="2" s="1"/>
  <c r="J156" i="2" s="1"/>
  <c r="C157" i="2" s="1"/>
  <c r="D157" i="2" l="1"/>
  <c r="E157" i="2" s="1"/>
  <c r="F157" i="2"/>
  <c r="G157" i="2" l="1"/>
  <c r="I157" i="2" s="1"/>
  <c r="J157" i="2" s="1"/>
  <c r="C158" i="2" s="1"/>
  <c r="D158" i="2" l="1"/>
  <c r="E158" i="2" s="1"/>
  <c r="F158" i="2"/>
  <c r="G158" i="2" l="1"/>
  <c r="I158" i="2" s="1"/>
  <c r="J158" i="2" s="1"/>
  <c r="C159" i="2" s="1"/>
  <c r="F159" i="2" l="1"/>
  <c r="D159" i="2"/>
  <c r="E159" i="2" s="1"/>
  <c r="G159" i="2" l="1"/>
  <c r="I159" i="2" s="1"/>
  <c r="J159" i="2" s="1"/>
  <c r="C160" i="2" s="1"/>
  <c r="D160" i="2" l="1"/>
  <c r="E160" i="2" s="1"/>
  <c r="F160" i="2"/>
  <c r="G160" i="2" l="1"/>
  <c r="I160" i="2" s="1"/>
  <c r="J160" i="2"/>
  <c r="C161" i="2" s="1"/>
  <c r="F161" i="2" l="1"/>
  <c r="D161" i="2"/>
  <c r="E161" i="2" s="1"/>
  <c r="G161" i="2" l="1"/>
  <c r="I161" i="2" s="1"/>
  <c r="J161" i="2" s="1"/>
  <c r="C162" i="2" s="1"/>
  <c r="F162" i="2" l="1"/>
  <c r="D162" i="2"/>
  <c r="E162" i="2" s="1"/>
  <c r="G162" i="2" l="1"/>
  <c r="I162" i="2" s="1"/>
  <c r="J162" i="2" s="1"/>
  <c r="C163" i="2" s="1"/>
  <c r="D163" i="2" l="1"/>
  <c r="E163" i="2" s="1"/>
  <c r="F163" i="2"/>
  <c r="G163" i="2" l="1"/>
  <c r="I163" i="2" s="1"/>
  <c r="J163" i="2" s="1"/>
  <c r="C164" i="2" s="1"/>
  <c r="D164" i="2" l="1"/>
  <c r="E164" i="2" s="1"/>
  <c r="F164" i="2"/>
  <c r="G164" i="2" l="1"/>
  <c r="I164" i="2" s="1"/>
  <c r="J164" i="2" s="1"/>
  <c r="C165" i="2" s="1"/>
  <c r="D165" i="2" l="1"/>
  <c r="E165" i="2" s="1"/>
  <c r="F165" i="2"/>
  <c r="G165" i="2" s="1"/>
  <c r="I165" i="2" s="1"/>
  <c r="J165" i="2" l="1"/>
  <c r="C166" i="2" s="1"/>
  <c r="D166" i="2" l="1"/>
  <c r="E166" i="2" s="1"/>
  <c r="F166" i="2"/>
  <c r="G166" i="2" s="1"/>
  <c r="I166" i="2" s="1"/>
  <c r="J166" i="2" l="1"/>
  <c r="C167" i="2" s="1"/>
  <c r="F167" i="2" l="1"/>
  <c r="D167" i="2"/>
  <c r="E167" i="2" s="1"/>
  <c r="G167" i="2" l="1"/>
  <c r="I167" i="2" s="1"/>
  <c r="J167" i="2" s="1"/>
  <c r="C168" i="2" s="1"/>
  <c r="F168" i="2" l="1"/>
  <c r="D168" i="2"/>
  <c r="E168" i="2" s="1"/>
  <c r="G168" i="2" l="1"/>
  <c r="I168" i="2" s="1"/>
  <c r="J168" i="2" l="1"/>
  <c r="C169" i="2" s="1"/>
  <c r="F169" i="2" l="1"/>
  <c r="D169" i="2"/>
  <c r="E169" i="2" s="1"/>
  <c r="G169" i="2" l="1"/>
  <c r="I169" i="2" s="1"/>
  <c r="J169" i="2" l="1"/>
  <c r="C170" i="2" s="1"/>
  <c r="F170" i="2" l="1"/>
  <c r="D170" i="2"/>
  <c r="E170" i="2" s="1"/>
  <c r="G170" i="2" l="1"/>
  <c r="I170" i="2" s="1"/>
  <c r="J170" i="2" l="1"/>
  <c r="C171" i="2" s="1"/>
  <c r="D171" i="2" l="1"/>
  <c r="E171" i="2" s="1"/>
  <c r="F171" i="2"/>
  <c r="G171" i="2" l="1"/>
  <c r="I171" i="2" s="1"/>
  <c r="J171" i="2" s="1"/>
  <c r="C172" i="2" s="1"/>
  <c r="F172" i="2" l="1"/>
  <c r="D172" i="2"/>
  <c r="E172" i="2" s="1"/>
  <c r="G172" i="2" l="1"/>
  <c r="I172" i="2" s="1"/>
  <c r="J172" i="2" s="1"/>
  <c r="C173" i="2" s="1"/>
  <c r="F173" i="2" l="1"/>
  <c r="D173" i="2"/>
  <c r="E173" i="2" s="1"/>
  <c r="G173" i="2" l="1"/>
  <c r="I173" i="2" s="1"/>
  <c r="J173" i="2" l="1"/>
  <c r="C174" i="2" s="1"/>
  <c r="F174" i="2" l="1"/>
  <c r="D174" i="2"/>
  <c r="E174" i="2" s="1"/>
  <c r="G174" i="2" l="1"/>
  <c r="I174" i="2" s="1"/>
  <c r="J174" i="2" l="1"/>
  <c r="C175" i="2" s="1"/>
  <c r="F175" i="2" l="1"/>
  <c r="D175" i="2"/>
  <c r="E175" i="2" s="1"/>
  <c r="G175" i="2" l="1"/>
  <c r="I175" i="2" s="1"/>
  <c r="J175" i="2" s="1"/>
  <c r="C176" i="2" s="1"/>
  <c r="F176" i="2" l="1"/>
  <c r="D176" i="2"/>
  <c r="E176" i="2" s="1"/>
  <c r="G176" i="2" l="1"/>
  <c r="I176" i="2" s="1"/>
  <c r="J176" i="2" s="1"/>
  <c r="C177" i="2" s="1"/>
  <c r="F177" i="2" l="1"/>
  <c r="D177" i="2"/>
  <c r="E177" i="2" s="1"/>
  <c r="G177" i="2" l="1"/>
  <c r="I177" i="2" s="1"/>
  <c r="J177" i="2" l="1"/>
  <c r="C178" i="2" s="1"/>
  <c r="D178" i="2" l="1"/>
  <c r="E178" i="2" s="1"/>
  <c r="F178" i="2"/>
  <c r="G178" i="2" l="1"/>
  <c r="I178" i="2" s="1"/>
  <c r="J178" i="2" s="1"/>
  <c r="C179" i="2" s="1"/>
  <c r="D179" i="2" l="1"/>
  <c r="E179" i="2" s="1"/>
  <c r="F179" i="2"/>
  <c r="G179" i="2" l="1"/>
  <c r="I179" i="2" s="1"/>
  <c r="J179" i="2" s="1"/>
  <c r="C180" i="2" s="1"/>
  <c r="F180" i="2" l="1"/>
  <c r="D180" i="2"/>
  <c r="E180" i="2" s="1"/>
  <c r="G180" i="2" l="1"/>
  <c r="I180" i="2" s="1"/>
  <c r="J180" i="2" s="1"/>
  <c r="C181" i="2" s="1"/>
  <c r="D181" i="2" l="1"/>
  <c r="E181" i="2" s="1"/>
  <c r="F181" i="2"/>
  <c r="G181" i="2" l="1"/>
  <c r="I181" i="2" s="1"/>
  <c r="J181" i="2" s="1"/>
  <c r="C182" i="2" s="1"/>
  <c r="D182" i="2" l="1"/>
  <c r="E182" i="2" s="1"/>
  <c r="F182" i="2"/>
  <c r="G182" i="2" l="1"/>
  <c r="I182" i="2" s="1"/>
  <c r="J182" i="2" s="1"/>
  <c r="C183" i="2" s="1"/>
  <c r="D183" i="2" l="1"/>
  <c r="E183" i="2" s="1"/>
  <c r="F183" i="2"/>
  <c r="G183" i="2" s="1"/>
  <c r="I183" i="2" s="1"/>
  <c r="J183" i="2" l="1"/>
  <c r="C184" i="2" s="1"/>
  <c r="F184" i="2" l="1"/>
  <c r="D184" i="2"/>
  <c r="E184" i="2" s="1"/>
  <c r="G184" i="2" l="1"/>
  <c r="I184" i="2" s="1"/>
  <c r="J184" i="2" l="1"/>
  <c r="C185" i="2" s="1"/>
  <c r="F185" i="2" l="1"/>
  <c r="D185" i="2"/>
  <c r="E185" i="2" s="1"/>
  <c r="G185" i="2" l="1"/>
  <c r="I185" i="2" s="1"/>
  <c r="J185" i="2" s="1"/>
  <c r="C186" i="2" s="1"/>
  <c r="D186" i="2" l="1"/>
  <c r="E186" i="2" s="1"/>
  <c r="F186" i="2"/>
  <c r="G186" i="2" l="1"/>
  <c r="I186" i="2" s="1"/>
  <c r="J186" i="2"/>
  <c r="C187" i="2" s="1"/>
  <c r="F187" i="2" l="1"/>
  <c r="D187" i="2"/>
  <c r="E187" i="2" s="1"/>
  <c r="G187" i="2" l="1"/>
  <c r="I187" i="2" s="1"/>
  <c r="J187" i="2" s="1"/>
  <c r="C188" i="2" s="1"/>
  <c r="F188" i="2" l="1"/>
  <c r="D188" i="2"/>
  <c r="E188" i="2" s="1"/>
  <c r="G188" i="2" l="1"/>
  <c r="I188" i="2" s="1"/>
  <c r="J188" i="2" s="1"/>
  <c r="C189" i="2" s="1"/>
  <c r="D189" i="2" l="1"/>
  <c r="E189" i="2" s="1"/>
  <c r="F189" i="2"/>
  <c r="G189" i="2" s="1"/>
  <c r="I189" i="2" s="1"/>
  <c r="J189" i="2" l="1"/>
  <c r="C190" i="2" s="1"/>
  <c r="D190" i="2" l="1"/>
  <c r="E190" i="2" s="1"/>
  <c r="F190" i="2"/>
  <c r="G190" i="2" l="1"/>
  <c r="I190" i="2" s="1"/>
  <c r="J190" i="2" s="1"/>
  <c r="C191" i="2" s="1"/>
  <c r="D191" i="2" l="1"/>
  <c r="E191" i="2" s="1"/>
  <c r="F191" i="2"/>
  <c r="G191" i="2" s="1"/>
  <c r="I191" i="2" s="1"/>
  <c r="J191" i="2" l="1"/>
  <c r="C192" i="2" s="1"/>
  <c r="D192" i="2" l="1"/>
  <c r="E192" i="2" s="1"/>
  <c r="F192" i="2"/>
  <c r="G192" i="2" s="1"/>
  <c r="I192" i="2" s="1"/>
  <c r="J192" i="2" l="1"/>
  <c r="C193" i="2" s="1"/>
  <c r="F193" i="2" l="1"/>
  <c r="D193" i="2"/>
  <c r="E193" i="2" s="1"/>
  <c r="G193" i="2" l="1"/>
  <c r="I193" i="2" s="1"/>
  <c r="J193" i="2" s="1"/>
  <c r="C194" i="2" s="1"/>
  <c r="F194" i="2" l="1"/>
  <c r="D194" i="2"/>
  <c r="E194" i="2" s="1"/>
  <c r="G194" i="2" l="1"/>
  <c r="I194" i="2" s="1"/>
  <c r="J194" i="2" s="1"/>
  <c r="C195" i="2" s="1"/>
  <c r="D195" i="2" l="1"/>
  <c r="E195" i="2" s="1"/>
  <c r="F195" i="2"/>
  <c r="G195" i="2" s="1"/>
  <c r="I195" i="2" s="1"/>
  <c r="J195" i="2" l="1"/>
  <c r="C196" i="2" s="1"/>
  <c r="D196" i="2" l="1"/>
  <c r="E196" i="2" s="1"/>
  <c r="F196" i="2"/>
  <c r="G196" i="2" s="1"/>
  <c r="I196" i="2" s="1"/>
  <c r="J196" i="2" l="1"/>
  <c r="C197" i="2" s="1"/>
  <c r="D197" i="2" l="1"/>
  <c r="E197" i="2" s="1"/>
  <c r="F197" i="2"/>
  <c r="G197" i="2" s="1"/>
  <c r="I197" i="2" s="1"/>
  <c r="J197" i="2" l="1"/>
  <c r="C198" i="2" s="1"/>
  <c r="D198" i="2" l="1"/>
  <c r="E198" i="2" s="1"/>
  <c r="F198" i="2"/>
  <c r="G198" i="2" s="1"/>
  <c r="I198" i="2" s="1"/>
  <c r="J198" i="2" l="1"/>
  <c r="C199" i="2" s="1"/>
  <c r="D199" i="2" l="1"/>
  <c r="E199" i="2" s="1"/>
  <c r="F199" i="2"/>
  <c r="G199" i="2" s="1"/>
  <c r="I199" i="2" s="1"/>
  <c r="J199" i="2" l="1"/>
  <c r="C200" i="2" s="1"/>
  <c r="D200" i="2" l="1"/>
  <c r="E200" i="2" s="1"/>
  <c r="F200" i="2"/>
  <c r="G200" i="2" s="1"/>
  <c r="I200" i="2" s="1"/>
  <c r="J200" i="2" l="1"/>
  <c r="C201" i="2" s="1"/>
  <c r="F201" i="2" l="1"/>
  <c r="D201" i="2"/>
  <c r="E201" i="2" s="1"/>
  <c r="G201" i="2" l="1"/>
  <c r="I201" i="2" s="1"/>
  <c r="J201" i="2" s="1"/>
  <c r="C202" i="2" s="1"/>
  <c r="F202" i="2" l="1"/>
  <c r="D202" i="2"/>
  <c r="E202" i="2" s="1"/>
  <c r="G202" i="2" l="1"/>
  <c r="I202" i="2" s="1"/>
  <c r="J202" i="2" s="1"/>
  <c r="C203" i="2" s="1"/>
  <c r="D203" i="2" l="1"/>
  <c r="E203" i="2" s="1"/>
  <c r="F203" i="2"/>
  <c r="G203" i="2" l="1"/>
  <c r="I203" i="2" s="1"/>
  <c r="J203" i="2" l="1"/>
  <c r="C204" i="2" s="1"/>
  <c r="F204" i="2" l="1"/>
  <c r="D204" i="2"/>
  <c r="E204" i="2" s="1"/>
  <c r="G204" i="2" l="1"/>
  <c r="I204" i="2" s="1"/>
  <c r="J204" i="2" s="1"/>
  <c r="C205" i="2" s="1"/>
  <c r="F205" i="2" l="1"/>
  <c r="D205" i="2"/>
  <c r="E205" i="2" s="1"/>
  <c r="G205" i="2" l="1"/>
  <c r="I205" i="2" s="1"/>
  <c r="J205" i="2" s="1"/>
  <c r="C206" i="2" s="1"/>
  <c r="F206" i="2" l="1"/>
  <c r="D206" i="2"/>
  <c r="E206" i="2" s="1"/>
  <c r="G206" i="2" l="1"/>
  <c r="I206" i="2" s="1"/>
  <c r="J206" i="2" s="1"/>
  <c r="C207" i="2" s="1"/>
  <c r="D207" i="2" l="1"/>
  <c r="E207" i="2" s="1"/>
  <c r="F207" i="2"/>
  <c r="G207" i="2" l="1"/>
  <c r="I207" i="2" s="1"/>
  <c r="J207" i="2" l="1"/>
  <c r="C208" i="2" s="1"/>
  <c r="F208" i="2" l="1"/>
  <c r="D208" i="2"/>
  <c r="E208" i="2" s="1"/>
  <c r="G208" i="2" l="1"/>
  <c r="I208" i="2" s="1"/>
  <c r="J208" i="2" s="1"/>
  <c r="C209" i="2" s="1"/>
  <c r="D209" i="2" l="1"/>
  <c r="E209" i="2" s="1"/>
  <c r="F209" i="2"/>
  <c r="G209" i="2" s="1"/>
  <c r="I209" i="2" s="1"/>
  <c r="J209" i="2" l="1"/>
  <c r="C210" i="2" s="1"/>
  <c r="F210" i="2" l="1"/>
  <c r="D210" i="2"/>
  <c r="E210" i="2" s="1"/>
  <c r="G210" i="2" l="1"/>
  <c r="I210" i="2" s="1"/>
  <c r="J210" i="2" s="1"/>
  <c r="C211" i="2" s="1"/>
  <c r="F211" i="2" l="1"/>
  <c r="D211" i="2"/>
  <c r="E211" i="2" s="1"/>
  <c r="G211" i="2" l="1"/>
  <c r="I211" i="2" s="1"/>
  <c r="J211" i="2" s="1"/>
  <c r="C212" i="2" s="1"/>
  <c r="F212" i="2" l="1"/>
  <c r="D212" i="2"/>
  <c r="E212" i="2" s="1"/>
  <c r="G212" i="2" l="1"/>
  <c r="I212" i="2" s="1"/>
  <c r="J212" i="2" s="1"/>
  <c r="C213" i="2" s="1"/>
  <c r="F213" i="2" l="1"/>
  <c r="D213" i="2"/>
  <c r="E213" i="2" s="1"/>
  <c r="G213" i="2" l="1"/>
  <c r="I213" i="2" s="1"/>
  <c r="J213" i="2" l="1"/>
  <c r="C214" i="2" s="1"/>
  <c r="D214" i="2" l="1"/>
  <c r="E214" i="2" s="1"/>
  <c r="F214" i="2"/>
  <c r="G214" i="2" s="1"/>
  <c r="I214" i="2" s="1"/>
  <c r="J214" i="2" l="1"/>
  <c r="C215" i="2" s="1"/>
  <c r="D215" i="2" l="1"/>
  <c r="E215" i="2" s="1"/>
  <c r="F215" i="2"/>
  <c r="G215" i="2" s="1"/>
  <c r="I215" i="2" s="1"/>
  <c r="J215" i="2" l="1"/>
  <c r="C216" i="2" s="1"/>
  <c r="D216" i="2" l="1"/>
  <c r="E216" i="2" s="1"/>
  <c r="F216" i="2"/>
  <c r="G216" i="2" s="1"/>
  <c r="I216" i="2" s="1"/>
  <c r="J216" i="2" l="1"/>
  <c r="C217" i="2" s="1"/>
  <c r="F217" i="2" l="1"/>
  <c r="D217" i="2"/>
  <c r="E217" i="2" s="1"/>
  <c r="G217" i="2" l="1"/>
  <c r="I217" i="2" s="1"/>
  <c r="J217" i="2" s="1"/>
  <c r="C218" i="2" s="1"/>
  <c r="F218" i="2" l="1"/>
  <c r="D218" i="2"/>
  <c r="E218" i="2" s="1"/>
  <c r="G218" i="2" l="1"/>
  <c r="I218" i="2" s="1"/>
  <c r="J218" i="2" l="1"/>
  <c r="C219" i="2" s="1"/>
  <c r="F219" i="2" l="1"/>
  <c r="D219" i="2"/>
  <c r="E219" i="2" s="1"/>
  <c r="G219" i="2" l="1"/>
  <c r="I219" i="2" s="1"/>
  <c r="J219" i="2" s="1"/>
  <c r="C220" i="2" s="1"/>
  <c r="F220" i="2" l="1"/>
  <c r="D220" i="2"/>
  <c r="E220" i="2" s="1"/>
  <c r="G220" i="2" l="1"/>
  <c r="I220" i="2" s="1"/>
  <c r="J220" i="2" l="1"/>
  <c r="C221" i="2" s="1"/>
  <c r="D221" i="2" l="1"/>
  <c r="E221" i="2" s="1"/>
  <c r="F221" i="2"/>
  <c r="G221" i="2" s="1"/>
  <c r="I221" i="2" s="1"/>
  <c r="J221" i="2" l="1"/>
  <c r="C222" i="2" s="1"/>
  <c r="F222" i="2" l="1"/>
  <c r="D222" i="2"/>
  <c r="E222" i="2" s="1"/>
  <c r="G222" i="2" l="1"/>
  <c r="I222" i="2" s="1"/>
  <c r="J222" i="2" l="1"/>
  <c r="C223" i="2" s="1"/>
  <c r="F223" i="2" l="1"/>
  <c r="D223" i="2"/>
  <c r="E223" i="2" s="1"/>
  <c r="G223" i="2" l="1"/>
  <c r="I223" i="2" s="1"/>
  <c r="J223" i="2" s="1"/>
  <c r="C224" i="2" s="1"/>
  <c r="F224" i="2" l="1"/>
  <c r="D224" i="2"/>
  <c r="E224" i="2" s="1"/>
  <c r="G224" i="2" l="1"/>
  <c r="I224" i="2" s="1"/>
  <c r="J224" i="2" l="1"/>
  <c r="C225" i="2" s="1"/>
  <c r="F225" i="2" l="1"/>
  <c r="D225" i="2"/>
  <c r="E225" i="2" s="1"/>
  <c r="G225" i="2" l="1"/>
  <c r="I225" i="2" s="1"/>
  <c r="J225" i="2" l="1"/>
  <c r="C226" i="2" s="1"/>
  <c r="F226" i="2" l="1"/>
  <c r="D226" i="2"/>
  <c r="E226" i="2" s="1"/>
  <c r="G226" i="2" l="1"/>
  <c r="I226" i="2" s="1"/>
  <c r="J226" i="2" s="1"/>
  <c r="C227" i="2" s="1"/>
  <c r="D227" i="2" l="1"/>
  <c r="E227" i="2" s="1"/>
  <c r="F227" i="2"/>
  <c r="G227" i="2" s="1"/>
  <c r="I227" i="2" s="1"/>
  <c r="J227" i="2" l="1"/>
  <c r="C228" i="2" s="1"/>
  <c r="F228" i="2" l="1"/>
  <c r="D228" i="2"/>
  <c r="E228" i="2" s="1"/>
  <c r="G228" i="2" l="1"/>
  <c r="I228" i="2" s="1"/>
  <c r="J228" i="2" l="1"/>
  <c r="C229" i="2" s="1"/>
  <c r="D229" i="2" l="1"/>
  <c r="E229" i="2" s="1"/>
  <c r="F229" i="2"/>
  <c r="G229" i="2" s="1"/>
  <c r="I229" i="2" s="1"/>
  <c r="J229" i="2" l="1"/>
  <c r="C230" i="2" s="1"/>
  <c r="D230" i="2" l="1"/>
  <c r="E230" i="2" s="1"/>
  <c r="F230" i="2"/>
  <c r="G230" i="2" s="1"/>
  <c r="I230" i="2" s="1"/>
  <c r="J230" i="2" l="1"/>
  <c r="C231" i="2" s="1"/>
  <c r="F231" i="2" l="1"/>
  <c r="D231" i="2"/>
  <c r="E231" i="2" s="1"/>
  <c r="G231" i="2" l="1"/>
  <c r="I231" i="2" s="1"/>
  <c r="J231" i="2" l="1"/>
  <c r="C232" i="2" s="1"/>
  <c r="F232" i="2" l="1"/>
  <c r="D232" i="2"/>
  <c r="E232" i="2" s="1"/>
  <c r="G232" i="2" l="1"/>
  <c r="I232" i="2" s="1"/>
  <c r="J232" i="2" l="1"/>
  <c r="C233" i="2" s="1"/>
  <c r="F233" i="2" l="1"/>
  <c r="D233" i="2"/>
  <c r="E233" i="2" s="1"/>
  <c r="G233" i="2" l="1"/>
  <c r="I233" i="2" s="1"/>
  <c r="J233" i="2" l="1"/>
  <c r="C234" i="2" s="1"/>
  <c r="F234" i="2" l="1"/>
  <c r="D234" i="2"/>
  <c r="E234" i="2" s="1"/>
  <c r="G234" i="2" l="1"/>
  <c r="I234" i="2" s="1"/>
  <c r="J234" i="2" l="1"/>
  <c r="C235" i="2" s="1"/>
  <c r="F235" i="2" l="1"/>
  <c r="D235" i="2"/>
  <c r="E235" i="2" s="1"/>
  <c r="G235" i="2" l="1"/>
  <c r="I235" i="2" s="1"/>
  <c r="J235" i="2" s="1"/>
  <c r="C236" i="2" s="1"/>
  <c r="D236" i="2" l="1"/>
  <c r="E236" i="2" s="1"/>
  <c r="F236" i="2"/>
  <c r="G236" i="2" s="1"/>
  <c r="I236" i="2" s="1"/>
  <c r="J236" i="2" l="1"/>
  <c r="C237" i="2" s="1"/>
  <c r="F237" i="2" l="1"/>
  <c r="D237" i="2"/>
  <c r="E237" i="2" s="1"/>
  <c r="G237" i="2" l="1"/>
  <c r="I237" i="2" s="1"/>
  <c r="J237" i="2" l="1"/>
  <c r="C238" i="2" s="1"/>
  <c r="F238" i="2" l="1"/>
  <c r="D238" i="2"/>
  <c r="E238" i="2" s="1"/>
  <c r="G238" i="2" l="1"/>
  <c r="I238" i="2" s="1"/>
  <c r="J238" i="2" s="1"/>
  <c r="C239" i="2" s="1"/>
  <c r="F239" i="2" l="1"/>
  <c r="D239" i="2"/>
  <c r="E239" i="2" s="1"/>
  <c r="G239" i="2" l="1"/>
  <c r="I239" i="2" s="1"/>
  <c r="J239" i="2" s="1"/>
  <c r="C240" i="2" s="1"/>
  <c r="D240" i="2" l="1"/>
  <c r="E240" i="2" s="1"/>
  <c r="F240" i="2"/>
  <c r="G240" i="2" s="1"/>
  <c r="I240" i="2" s="1"/>
  <c r="J240" i="2" l="1"/>
  <c r="C241" i="2" s="1"/>
  <c r="F241" i="2" l="1"/>
  <c r="D241" i="2"/>
  <c r="E241" i="2" s="1"/>
  <c r="G241" i="2" l="1"/>
  <c r="I241" i="2" s="1"/>
  <c r="J241" i="2" l="1"/>
  <c r="C242" i="2" s="1"/>
  <c r="F242" i="2" l="1"/>
  <c r="D242" i="2"/>
  <c r="E242" i="2" s="1"/>
  <c r="G242" i="2" l="1"/>
  <c r="I242" i="2" s="1"/>
  <c r="J242" i="2" s="1"/>
  <c r="C243" i="2" s="1"/>
  <c r="F243" i="2" l="1"/>
  <c r="D243" i="2"/>
  <c r="E243" i="2" s="1"/>
  <c r="G243" i="2" l="1"/>
  <c r="I243" i="2" s="1"/>
  <c r="J243" i="2" l="1"/>
  <c r="C244" i="2" s="1"/>
  <c r="F244" i="2" l="1"/>
  <c r="D244" i="2"/>
  <c r="E244" i="2" s="1"/>
  <c r="G244" i="2" l="1"/>
  <c r="I244" i="2" s="1"/>
  <c r="J244" i="2" l="1"/>
  <c r="C245" i="2" s="1"/>
  <c r="F245" i="2" l="1"/>
  <c r="D245" i="2"/>
  <c r="E245" i="2" s="1"/>
  <c r="G245" i="2" l="1"/>
  <c r="I245" i="2" s="1"/>
  <c r="J245" i="2" s="1"/>
  <c r="C246" i="2" s="1"/>
  <c r="D246" i="2" l="1"/>
  <c r="E246" i="2" s="1"/>
  <c r="F246" i="2"/>
  <c r="G246" i="2" s="1"/>
  <c r="I246" i="2" s="1"/>
  <c r="J246" i="2" l="1"/>
  <c r="C247" i="2" s="1"/>
  <c r="D247" i="2" l="1"/>
  <c r="E247" i="2" s="1"/>
  <c r="F247" i="2"/>
  <c r="G247" i="2" l="1"/>
  <c r="I247" i="2" s="1"/>
  <c r="J247" i="2" s="1"/>
  <c r="C248" i="2" s="1"/>
  <c r="D248" i="2" l="1"/>
  <c r="E248" i="2" s="1"/>
  <c r="F248" i="2"/>
  <c r="G248" i="2" s="1"/>
  <c r="I248" i="2" s="1"/>
  <c r="J248" i="2" l="1"/>
  <c r="C249" i="2" s="1"/>
  <c r="D249" i="2" l="1"/>
  <c r="E249" i="2" s="1"/>
  <c r="F249" i="2"/>
  <c r="G249" i="2" l="1"/>
  <c r="I249" i="2" s="1"/>
  <c r="J249" i="2" s="1"/>
  <c r="C250" i="2" s="1"/>
  <c r="F250" i="2" l="1"/>
  <c r="D250" i="2"/>
  <c r="E250" i="2" s="1"/>
  <c r="G250" i="2" l="1"/>
  <c r="I250" i="2" s="1"/>
  <c r="J250" i="2" s="1"/>
  <c r="C251" i="2" s="1"/>
  <c r="D251" i="2" l="1"/>
  <c r="E251" i="2" s="1"/>
  <c r="F251" i="2"/>
  <c r="G251" i="2" l="1"/>
  <c r="I251" i="2" s="1"/>
  <c r="J251" i="2" s="1"/>
  <c r="C252" i="2" s="1"/>
  <c r="D252" i="2" l="1"/>
  <c r="E252" i="2" s="1"/>
  <c r="F252" i="2"/>
  <c r="G252" i="2" l="1"/>
  <c r="I252" i="2" s="1"/>
  <c r="J252" i="2" s="1"/>
  <c r="C253" i="2" s="1"/>
  <c r="D253" i="2" l="1"/>
  <c r="E253" i="2" s="1"/>
  <c r="F253" i="2"/>
  <c r="G253" i="2" l="1"/>
  <c r="I253" i="2" s="1"/>
  <c r="J253" i="2" s="1"/>
  <c r="C254" i="2" s="1"/>
  <c r="D254" i="2" l="1"/>
  <c r="E254" i="2" s="1"/>
  <c r="F254" i="2"/>
  <c r="G254" i="2" l="1"/>
  <c r="I254" i="2" s="1"/>
  <c r="J254" i="2" s="1"/>
  <c r="C255" i="2" s="1"/>
  <c r="F255" i="2" l="1"/>
  <c r="D255" i="2"/>
  <c r="E255" i="2" s="1"/>
  <c r="G255" i="2" l="1"/>
  <c r="I255" i="2" s="1"/>
  <c r="J255" i="2" l="1"/>
  <c r="C256" i="2" s="1"/>
  <c r="D256" i="2" l="1"/>
  <c r="E256" i="2" s="1"/>
  <c r="F256" i="2"/>
  <c r="G256" i="2" l="1"/>
  <c r="I256" i="2" s="1"/>
  <c r="J256" i="2" s="1"/>
  <c r="C257" i="2" s="1"/>
  <c r="F257" i="2" l="1"/>
  <c r="D257" i="2"/>
  <c r="E257" i="2" s="1"/>
  <c r="G257" i="2" l="1"/>
  <c r="I257" i="2" s="1"/>
  <c r="J257" i="2" s="1"/>
  <c r="C258" i="2" s="1"/>
  <c r="F258" i="2" l="1"/>
  <c r="D258" i="2"/>
  <c r="E258" i="2" s="1"/>
  <c r="G258" i="2" l="1"/>
  <c r="I258" i="2" s="1"/>
  <c r="J258" i="2" s="1"/>
  <c r="C259" i="2" s="1"/>
  <c r="D259" i="2" l="1"/>
  <c r="E259" i="2" s="1"/>
  <c r="F259" i="2"/>
  <c r="G259" i="2" l="1"/>
  <c r="I259" i="2" s="1"/>
  <c r="J259" i="2" s="1"/>
  <c r="C260" i="2" s="1"/>
  <c r="D260" i="2" l="1"/>
  <c r="E260" i="2" s="1"/>
  <c r="F260" i="2"/>
  <c r="G260" i="2" s="1"/>
  <c r="I260" i="2" s="1"/>
  <c r="J260" i="2" l="1"/>
  <c r="C261" i="2" s="1"/>
  <c r="F261" i="2" l="1"/>
  <c r="D261" i="2"/>
  <c r="E261" i="2" s="1"/>
  <c r="G261" i="2" l="1"/>
  <c r="I261" i="2" s="1"/>
  <c r="J261" i="2" s="1"/>
  <c r="C262" i="2" s="1"/>
  <c r="F262" i="2" l="1"/>
  <c r="D262" i="2"/>
  <c r="E262" i="2" s="1"/>
  <c r="G262" i="2" l="1"/>
  <c r="I262" i="2" s="1"/>
  <c r="J262" i="2" l="1"/>
  <c r="C263" i="2" s="1"/>
  <c r="F263" i="2" l="1"/>
  <c r="D263" i="2"/>
  <c r="E263" i="2" s="1"/>
  <c r="G263" i="2" l="1"/>
  <c r="I263" i="2" s="1"/>
  <c r="J263" i="2" s="1"/>
  <c r="C264" i="2" s="1"/>
  <c r="F264" i="2" l="1"/>
  <c r="D264" i="2"/>
  <c r="E264" i="2" s="1"/>
  <c r="G264" i="2" l="1"/>
  <c r="I264" i="2" s="1"/>
  <c r="J264" i="2" s="1"/>
  <c r="C265" i="2" s="1"/>
  <c r="F265" i="2" l="1"/>
  <c r="D265" i="2"/>
  <c r="E265" i="2" s="1"/>
  <c r="G265" i="2" l="1"/>
  <c r="I265" i="2" s="1"/>
  <c r="J265" i="2" s="1"/>
  <c r="C266" i="2" s="1"/>
  <c r="F266" i="2" l="1"/>
  <c r="D266" i="2"/>
  <c r="E266" i="2" s="1"/>
  <c r="G266" i="2" l="1"/>
  <c r="I266" i="2" s="1"/>
  <c r="J266" i="2" l="1"/>
  <c r="C267" i="2" s="1"/>
  <c r="F267" i="2" l="1"/>
  <c r="D267" i="2"/>
  <c r="E267" i="2" s="1"/>
  <c r="G267" i="2" l="1"/>
  <c r="I267" i="2" s="1"/>
  <c r="J267" i="2" l="1"/>
  <c r="C268" i="2" s="1"/>
  <c r="D268" i="2" l="1"/>
  <c r="E268" i="2" s="1"/>
  <c r="F268" i="2"/>
  <c r="G268" i="2" s="1"/>
  <c r="I268" i="2" s="1"/>
  <c r="J268" i="2" l="1"/>
  <c r="C269" i="2" s="1"/>
  <c r="F269" i="2" l="1"/>
  <c r="D269" i="2"/>
  <c r="E269" i="2" s="1"/>
  <c r="G269" i="2" l="1"/>
  <c r="I269" i="2" s="1"/>
  <c r="J269" i="2" s="1"/>
  <c r="C270" i="2" s="1"/>
  <c r="D270" i="2" l="1"/>
  <c r="E270" i="2" s="1"/>
  <c r="F270" i="2"/>
  <c r="G270" i="2" s="1"/>
  <c r="I270" i="2" s="1"/>
  <c r="J270" i="2" l="1"/>
  <c r="C271" i="2" s="1"/>
  <c r="D271" i="2" l="1"/>
  <c r="E271" i="2" s="1"/>
  <c r="F271" i="2"/>
  <c r="G271" i="2" s="1"/>
  <c r="I271" i="2" s="1"/>
  <c r="J271" i="2" l="1"/>
  <c r="C272" i="2" s="1"/>
  <c r="D272" i="2" l="1"/>
  <c r="E272" i="2" s="1"/>
  <c r="F272" i="2"/>
  <c r="G272" i="2" s="1"/>
  <c r="I272" i="2" s="1"/>
  <c r="J272" i="2" l="1"/>
  <c r="C273" i="2" s="1"/>
  <c r="F273" i="2" l="1"/>
  <c r="D273" i="2"/>
  <c r="E273" i="2" s="1"/>
  <c r="G273" i="2" l="1"/>
  <c r="I273" i="2" s="1"/>
  <c r="J273" i="2" l="1"/>
  <c r="C274" i="2" s="1"/>
  <c r="F274" i="2" l="1"/>
  <c r="D274" i="2"/>
  <c r="E274" i="2" s="1"/>
  <c r="G274" i="2" l="1"/>
  <c r="I274" i="2" s="1"/>
  <c r="J274" i="2" l="1"/>
  <c r="C275" i="2" s="1"/>
  <c r="F275" i="2" l="1"/>
  <c r="D275" i="2"/>
  <c r="E275" i="2" s="1"/>
  <c r="G275" i="2" l="1"/>
  <c r="I275" i="2" s="1"/>
  <c r="J275" i="2" s="1"/>
  <c r="C276" i="2" s="1"/>
  <c r="D276" i="2" l="1"/>
  <c r="E276" i="2" s="1"/>
  <c r="F276" i="2"/>
  <c r="G276" i="2" s="1"/>
  <c r="I276" i="2" s="1"/>
  <c r="J276" i="2" l="1"/>
  <c r="C277" i="2" s="1"/>
  <c r="F277" i="2" l="1"/>
  <c r="D277" i="2"/>
  <c r="E277" i="2" s="1"/>
  <c r="G277" i="2" l="1"/>
  <c r="I277" i="2" s="1"/>
  <c r="J277" i="2" s="1"/>
  <c r="C278" i="2" s="1"/>
  <c r="F278" i="2" l="1"/>
  <c r="D278" i="2"/>
  <c r="E278" i="2" s="1"/>
  <c r="G278" i="2" l="1"/>
  <c r="I278" i="2" s="1"/>
  <c r="J278" i="2" l="1"/>
  <c r="C279" i="2" s="1"/>
  <c r="F279" i="2" l="1"/>
  <c r="D279" i="2"/>
  <c r="E279" i="2" s="1"/>
  <c r="G279" i="2" l="1"/>
  <c r="I279" i="2" s="1"/>
  <c r="J279" i="2" s="1"/>
  <c r="C280" i="2" s="1"/>
  <c r="F280" i="2" l="1"/>
  <c r="D280" i="2"/>
  <c r="E280" i="2" s="1"/>
  <c r="G280" i="2" l="1"/>
  <c r="I280" i="2" s="1"/>
  <c r="J280" i="2" l="1"/>
  <c r="C281" i="2" s="1"/>
  <c r="F281" i="2" l="1"/>
  <c r="D281" i="2"/>
  <c r="E281" i="2" s="1"/>
  <c r="G281" i="2" l="1"/>
  <c r="I281" i="2" s="1"/>
  <c r="J281" i="2" l="1"/>
  <c r="C282" i="2" s="1"/>
  <c r="F282" i="2" l="1"/>
  <c r="D282" i="2"/>
  <c r="E282" i="2" s="1"/>
  <c r="G282" i="2" l="1"/>
  <c r="I282" i="2" s="1"/>
  <c r="J282" i="2" s="1"/>
  <c r="C283" i="2" s="1"/>
  <c r="D283" i="2" l="1"/>
  <c r="E283" i="2" s="1"/>
  <c r="F283" i="2"/>
  <c r="G283" i="2" s="1"/>
  <c r="I283" i="2" s="1"/>
  <c r="J283" i="2" l="1"/>
  <c r="C284" i="2" s="1"/>
  <c r="D284" i="2" l="1"/>
  <c r="E284" i="2" s="1"/>
  <c r="F284" i="2"/>
  <c r="G284" i="2" s="1"/>
  <c r="I284" i="2" s="1"/>
  <c r="J284" i="2" l="1"/>
  <c r="C285" i="2" s="1"/>
  <c r="D285" i="2" l="1"/>
  <c r="E285" i="2" s="1"/>
  <c r="F285" i="2"/>
  <c r="G285" i="2" s="1"/>
  <c r="I285" i="2" s="1"/>
  <c r="J285" i="2" l="1"/>
  <c r="C286" i="2" s="1"/>
  <c r="F286" i="2" l="1"/>
  <c r="D286" i="2"/>
  <c r="E286" i="2" s="1"/>
  <c r="G286" i="2" l="1"/>
  <c r="I286" i="2" s="1"/>
  <c r="J286" i="2" s="1"/>
  <c r="C287" i="2" s="1"/>
  <c r="D287" i="2" l="1"/>
  <c r="E287" i="2" s="1"/>
  <c r="F287" i="2"/>
  <c r="G287" i="2" l="1"/>
  <c r="I287" i="2" s="1"/>
  <c r="J287" i="2" s="1"/>
  <c r="C288" i="2" s="1"/>
  <c r="D288" i="2" l="1"/>
  <c r="E288" i="2" s="1"/>
  <c r="F288" i="2"/>
  <c r="G288" i="2" l="1"/>
  <c r="I288" i="2" s="1"/>
  <c r="J288" i="2" s="1"/>
  <c r="C289" i="2" s="1"/>
  <c r="D289" i="2" l="1"/>
  <c r="E289" i="2" s="1"/>
  <c r="F289" i="2"/>
  <c r="G289" i="2" s="1"/>
  <c r="I289" i="2" s="1"/>
  <c r="J289" i="2" l="1"/>
  <c r="C290" i="2" s="1"/>
  <c r="D290" i="2" l="1"/>
  <c r="E290" i="2" s="1"/>
  <c r="F290" i="2"/>
  <c r="G290" i="2" s="1"/>
  <c r="I290" i="2" s="1"/>
  <c r="J290" i="2" l="1"/>
  <c r="C291" i="2" s="1"/>
  <c r="F291" i="2" l="1"/>
  <c r="D291" i="2"/>
  <c r="E291" i="2" s="1"/>
  <c r="G291" i="2" l="1"/>
  <c r="I291" i="2" s="1"/>
  <c r="J291" i="2" l="1"/>
  <c r="C292" i="2" s="1"/>
  <c r="F292" i="2" l="1"/>
  <c r="D292" i="2"/>
  <c r="E292" i="2" s="1"/>
  <c r="G292" i="2" l="1"/>
  <c r="I292" i="2" s="1"/>
  <c r="J292" i="2" s="1"/>
  <c r="C293" i="2" s="1"/>
  <c r="D293" i="2" l="1"/>
  <c r="E293" i="2" s="1"/>
  <c r="F293" i="2"/>
  <c r="G293" i="2" s="1"/>
  <c r="I293" i="2" s="1"/>
  <c r="J293" i="2" l="1"/>
  <c r="C294" i="2" s="1"/>
  <c r="F294" i="2" l="1"/>
  <c r="D294" i="2"/>
  <c r="E294" i="2" s="1"/>
  <c r="G294" i="2" l="1"/>
  <c r="I294" i="2" s="1"/>
  <c r="J294" i="2" l="1"/>
  <c r="C295" i="2" s="1"/>
  <c r="D295" i="2" l="1"/>
  <c r="E295" i="2" s="1"/>
  <c r="F295" i="2"/>
  <c r="G295" i="2" s="1"/>
  <c r="I295" i="2" s="1"/>
  <c r="J295" i="2" l="1"/>
  <c r="C296" i="2" s="1"/>
  <c r="D296" i="2" l="1"/>
  <c r="E296" i="2" s="1"/>
  <c r="F296" i="2"/>
  <c r="G296" i="2" s="1"/>
  <c r="I296" i="2" s="1"/>
  <c r="J296" i="2" l="1"/>
  <c r="C297" i="2" s="1"/>
  <c r="F297" i="2" l="1"/>
  <c r="D297" i="2"/>
  <c r="E297" i="2" s="1"/>
  <c r="G297" i="2" l="1"/>
  <c r="I297" i="2" s="1"/>
  <c r="J297" i="2" s="1"/>
  <c r="C298" i="2" s="1"/>
  <c r="D298" i="2" l="1"/>
  <c r="E298" i="2" s="1"/>
  <c r="F298" i="2"/>
  <c r="G298" i="2" s="1"/>
  <c r="I298" i="2" s="1"/>
  <c r="J298" i="2" l="1"/>
  <c r="C299" i="2" s="1"/>
  <c r="D299" i="2" l="1"/>
  <c r="E299" i="2" s="1"/>
  <c r="F299" i="2"/>
  <c r="G299" i="2" s="1"/>
  <c r="I299" i="2" s="1"/>
  <c r="J299" i="2" l="1"/>
  <c r="C300" i="2" s="1"/>
  <c r="D300" i="2" l="1"/>
  <c r="E300" i="2" s="1"/>
  <c r="F300" i="2"/>
  <c r="G300" i="2" s="1"/>
  <c r="I300" i="2" s="1"/>
  <c r="J300" i="2" l="1"/>
  <c r="C301" i="2" s="1"/>
  <c r="F301" i="2" l="1"/>
  <c r="D301" i="2"/>
  <c r="E301" i="2" s="1"/>
  <c r="G301" i="2" l="1"/>
  <c r="I301" i="2" s="1"/>
  <c r="J301" i="2" l="1"/>
  <c r="C302" i="2" s="1"/>
  <c r="F302" i="2" l="1"/>
  <c r="D302" i="2"/>
  <c r="E302" i="2" s="1"/>
  <c r="G302" i="2" l="1"/>
  <c r="I302" i="2" s="1"/>
  <c r="J302" i="2" l="1"/>
  <c r="C303" i="2" s="1"/>
  <c r="F303" i="2" l="1"/>
  <c r="D303" i="2"/>
  <c r="E303" i="2" s="1"/>
  <c r="G303" i="2" l="1"/>
  <c r="I303" i="2" s="1"/>
  <c r="J303" i="2" l="1"/>
  <c r="C304" i="2" s="1"/>
  <c r="F304" i="2" l="1"/>
  <c r="D304" i="2"/>
  <c r="E304" i="2" s="1"/>
  <c r="G304" i="2" l="1"/>
  <c r="I304" i="2" s="1"/>
  <c r="J304" i="2" s="1"/>
  <c r="C305" i="2" s="1"/>
  <c r="D305" i="2" l="1"/>
  <c r="E305" i="2" s="1"/>
  <c r="F305" i="2"/>
  <c r="G305" i="2" s="1"/>
  <c r="I305" i="2" s="1"/>
  <c r="J305" i="2" l="1"/>
  <c r="C306" i="2" s="1"/>
  <c r="D306" i="2" l="1"/>
  <c r="E306" i="2" s="1"/>
  <c r="F306" i="2"/>
  <c r="G306" i="2" l="1"/>
  <c r="I306" i="2" s="1"/>
  <c r="J306" i="2" s="1"/>
  <c r="C307" i="2" s="1"/>
  <c r="F307" i="2" l="1"/>
  <c r="D307" i="2"/>
  <c r="E307" i="2" s="1"/>
  <c r="G307" i="2" l="1"/>
  <c r="I307" i="2" s="1"/>
  <c r="J307" i="2" s="1"/>
  <c r="C308" i="2" s="1"/>
  <c r="F308" i="2" l="1"/>
  <c r="D308" i="2"/>
  <c r="E308" i="2" s="1"/>
  <c r="G308" i="2" l="1"/>
  <c r="I308" i="2" s="1"/>
  <c r="J308" i="2" l="1"/>
  <c r="C309" i="2" s="1"/>
  <c r="F309" i="2" l="1"/>
  <c r="D309" i="2"/>
  <c r="E309" i="2" s="1"/>
  <c r="G309" i="2" l="1"/>
  <c r="I309" i="2" s="1"/>
  <c r="J309" i="2" l="1"/>
  <c r="C310" i="2" s="1"/>
  <c r="F310" i="2" l="1"/>
  <c r="D310" i="2"/>
  <c r="E310" i="2" s="1"/>
  <c r="G310" i="2" l="1"/>
  <c r="I310" i="2" s="1"/>
  <c r="J310" i="2" s="1"/>
  <c r="C311" i="2" s="1"/>
  <c r="F311" i="2" l="1"/>
  <c r="D311" i="2"/>
  <c r="E311" i="2" s="1"/>
  <c r="G311" i="2" l="1"/>
  <c r="I311" i="2" s="1"/>
  <c r="J311" i="2" s="1"/>
  <c r="C312" i="2" s="1"/>
  <c r="D312" i="2" l="1"/>
  <c r="E312" i="2" s="1"/>
  <c r="F312" i="2"/>
  <c r="G312" i="2" s="1"/>
  <c r="I312" i="2" s="1"/>
  <c r="J312" i="2" l="1"/>
  <c r="C313" i="2" s="1"/>
  <c r="F313" i="2" l="1"/>
  <c r="D313" i="2"/>
  <c r="E313" i="2" s="1"/>
  <c r="G313" i="2" l="1"/>
  <c r="I313" i="2" s="1"/>
  <c r="J313" i="2" s="1"/>
  <c r="C314" i="2" s="1"/>
  <c r="D314" i="2" l="1"/>
  <c r="E314" i="2" s="1"/>
  <c r="F314" i="2"/>
  <c r="G314" i="2" s="1"/>
  <c r="I314" i="2" s="1"/>
  <c r="J314" i="2" l="1"/>
  <c r="C315" i="2" s="1"/>
  <c r="D315" i="2" l="1"/>
  <c r="E315" i="2" s="1"/>
  <c r="F315" i="2"/>
  <c r="G315" i="2" s="1"/>
  <c r="I315" i="2" s="1"/>
  <c r="J315" i="2" l="1"/>
  <c r="C316" i="2" s="1"/>
  <c r="D316" i="2" l="1"/>
  <c r="E316" i="2" s="1"/>
  <c r="F316" i="2"/>
  <c r="G316" i="2" s="1"/>
  <c r="I316" i="2" s="1"/>
  <c r="J316" i="2" l="1"/>
  <c r="C317" i="2" s="1"/>
  <c r="F317" i="2" l="1"/>
  <c r="D317" i="2"/>
  <c r="E317" i="2" s="1"/>
  <c r="G317" i="2" l="1"/>
  <c r="I317" i="2" s="1"/>
  <c r="J317" i="2" l="1"/>
  <c r="C318" i="2" s="1"/>
  <c r="D318" i="2" l="1"/>
  <c r="E318" i="2" s="1"/>
  <c r="F318" i="2"/>
  <c r="G318" i="2" s="1"/>
  <c r="I318" i="2" s="1"/>
  <c r="J318" i="2" l="1"/>
  <c r="C319" i="2" s="1"/>
  <c r="D319" i="2" l="1"/>
  <c r="E319" i="2" s="1"/>
  <c r="F319" i="2"/>
  <c r="G319" i="2" l="1"/>
  <c r="I319" i="2" s="1"/>
  <c r="J319" i="2" s="1"/>
  <c r="C320" i="2" s="1"/>
  <c r="F320" i="2" l="1"/>
  <c r="D320" i="2"/>
  <c r="E320" i="2" s="1"/>
  <c r="G320" i="2" l="1"/>
  <c r="I320" i="2" s="1"/>
  <c r="J320" i="2" s="1"/>
  <c r="C321" i="2" s="1"/>
  <c r="F321" i="2" l="1"/>
  <c r="D321" i="2"/>
  <c r="E321" i="2" s="1"/>
  <c r="G321" i="2" l="1"/>
  <c r="I321" i="2" s="1"/>
  <c r="J321" i="2" l="1"/>
  <c r="C322" i="2" s="1"/>
  <c r="D322" i="2" l="1"/>
  <c r="E322" i="2" s="1"/>
  <c r="F322" i="2"/>
  <c r="G322" i="2" s="1"/>
  <c r="I322" i="2" s="1"/>
  <c r="J322" i="2" l="1"/>
  <c r="C323" i="2" s="1"/>
  <c r="D323" i="2" l="1"/>
  <c r="E323" i="2" s="1"/>
  <c r="F323" i="2"/>
  <c r="G323" i="2" s="1"/>
  <c r="I323" i="2" s="1"/>
  <c r="J323" i="2" l="1"/>
  <c r="C324" i="2" s="1"/>
  <c r="D324" i="2" l="1"/>
  <c r="E324" i="2" s="1"/>
  <c r="F324" i="2"/>
  <c r="G324" i="2" l="1"/>
  <c r="I324" i="2" s="1"/>
  <c r="J324" i="2" s="1"/>
  <c r="C325" i="2" s="1"/>
  <c r="D325" i="2" l="1"/>
  <c r="E325" i="2" s="1"/>
  <c r="F325" i="2"/>
  <c r="G325" i="2" s="1"/>
  <c r="I325" i="2" s="1"/>
  <c r="J325" i="2" l="1"/>
  <c r="C326" i="2" s="1"/>
  <c r="F326" i="2" l="1"/>
  <c r="D326" i="2"/>
  <c r="E326" i="2" s="1"/>
  <c r="G326" i="2" l="1"/>
  <c r="I326" i="2" s="1"/>
  <c r="J326" i="2" s="1"/>
  <c r="C327" i="2" s="1"/>
  <c r="D327" i="2" l="1"/>
  <c r="E327" i="2" s="1"/>
  <c r="F327" i="2"/>
  <c r="G327" i="2" s="1"/>
  <c r="I327" i="2" s="1"/>
  <c r="J327" i="2" l="1"/>
  <c r="C328" i="2" s="1"/>
  <c r="F328" i="2" l="1"/>
  <c r="D328" i="2"/>
  <c r="G328" i="2" s="1"/>
  <c r="I328" i="2" s="1"/>
  <c r="E328" i="2" l="1"/>
  <c r="J328" i="2" s="1"/>
  <c r="C329" i="2" s="1"/>
  <c r="F329" i="2" s="1"/>
  <c r="D329" i="2" l="1"/>
  <c r="E329" i="2" s="1"/>
  <c r="G329" i="2" l="1"/>
  <c r="I329" i="2" s="1"/>
  <c r="J329" i="2" s="1"/>
  <c r="C330" i="2" s="1"/>
  <c r="F330" i="2" s="1"/>
  <c r="D330" i="2" l="1"/>
  <c r="E330" i="2" s="1"/>
  <c r="G330" i="2" l="1"/>
  <c r="I330" i="2" s="1"/>
  <c r="J330" i="2" s="1"/>
  <c r="C331" i="2" s="1"/>
  <c r="D331" i="2" s="1"/>
  <c r="E331" i="2" s="1"/>
  <c r="F331" i="2" l="1"/>
  <c r="G331" i="2"/>
  <c r="I331" i="2" s="1"/>
  <c r="J331" i="2" s="1"/>
  <c r="C332" i="2" s="1"/>
  <c r="F332" i="2" l="1"/>
  <c r="D332" i="2"/>
  <c r="E332" i="2" s="1"/>
  <c r="G332" i="2" l="1"/>
  <c r="I332" i="2" s="1"/>
  <c r="J332" i="2" l="1"/>
  <c r="C333" i="2" s="1"/>
  <c r="D333" i="2" l="1"/>
  <c r="E333" i="2" s="1"/>
  <c r="F333" i="2"/>
  <c r="G333" i="2" s="1"/>
  <c r="I333" i="2" s="1"/>
  <c r="J333" i="2" l="1"/>
  <c r="C334" i="2" s="1"/>
  <c r="F334" i="2" l="1"/>
  <c r="D334" i="2"/>
  <c r="E334" i="2" s="1"/>
  <c r="G334" i="2" l="1"/>
  <c r="I334" i="2" s="1"/>
  <c r="J334" i="2" s="1"/>
  <c r="C335" i="2" s="1"/>
  <c r="F335" i="2" l="1"/>
  <c r="D335" i="2"/>
  <c r="E335" i="2" s="1"/>
  <c r="G335" i="2" l="1"/>
  <c r="I335" i="2" s="1"/>
  <c r="J335" i="2" s="1"/>
  <c r="C336" i="2" s="1"/>
  <c r="F336" i="2" l="1"/>
  <c r="D336" i="2"/>
  <c r="E336" i="2" s="1"/>
  <c r="G336" i="2" l="1"/>
  <c r="I336" i="2" s="1"/>
  <c r="J336" i="2" s="1"/>
  <c r="C337" i="2" s="1"/>
  <c r="F337" i="2" l="1"/>
  <c r="D337" i="2"/>
  <c r="E337" i="2" s="1"/>
  <c r="G337" i="2" l="1"/>
  <c r="I337" i="2" s="1"/>
  <c r="J337" i="2" l="1"/>
  <c r="C338" i="2" s="1"/>
  <c r="D338" i="2" l="1"/>
  <c r="E338" i="2" s="1"/>
  <c r="F338" i="2"/>
  <c r="G338" i="2" l="1"/>
  <c r="I338" i="2" s="1"/>
  <c r="J338" i="2" s="1"/>
  <c r="C339" i="2" s="1"/>
  <c r="F339" i="2" l="1"/>
  <c r="D339" i="2"/>
  <c r="E339" i="2" s="1"/>
  <c r="G339" i="2" l="1"/>
  <c r="I339" i="2" s="1"/>
  <c r="J339" i="2" s="1"/>
  <c r="C340" i="2" s="1"/>
  <c r="F340" i="2" l="1"/>
  <c r="D340" i="2"/>
  <c r="E340" i="2" s="1"/>
  <c r="G340" i="2" l="1"/>
  <c r="I340" i="2" s="1"/>
  <c r="J340" i="2" s="1"/>
  <c r="C341" i="2" s="1"/>
  <c r="D341" i="2" l="1"/>
  <c r="E341" i="2" s="1"/>
  <c r="F341" i="2"/>
  <c r="G341" i="2" l="1"/>
  <c r="I341" i="2" s="1"/>
  <c r="J341" i="2" s="1"/>
  <c r="C342" i="2" s="1"/>
  <c r="F342" i="2" l="1"/>
  <c r="D342" i="2"/>
  <c r="E342" i="2" s="1"/>
  <c r="G342" i="2" l="1"/>
  <c r="I342" i="2" s="1"/>
  <c r="J342" i="2" s="1"/>
  <c r="C343" i="2" s="1"/>
  <c r="F343" i="2" l="1"/>
  <c r="D343" i="2"/>
  <c r="E343" i="2" s="1"/>
  <c r="G343" i="2" l="1"/>
  <c r="I343" i="2" s="1"/>
  <c r="J343" i="2" s="1"/>
  <c r="C344" i="2" s="1"/>
  <c r="F344" i="2" l="1"/>
  <c r="D344" i="2"/>
  <c r="E344" i="2" s="1"/>
  <c r="G344" i="2" l="1"/>
  <c r="I344" i="2" s="1"/>
  <c r="J344" i="2" l="1"/>
  <c r="C345" i="2" s="1"/>
  <c r="D345" i="2" l="1"/>
  <c r="E345" i="2" s="1"/>
  <c r="F345" i="2"/>
  <c r="G345" i="2" l="1"/>
  <c r="I345" i="2" s="1"/>
  <c r="J345" i="2" s="1"/>
  <c r="C346" i="2" s="1"/>
  <c r="D346" i="2" l="1"/>
  <c r="E346" i="2" s="1"/>
  <c r="F346" i="2"/>
  <c r="G346" i="2" s="1"/>
  <c r="I346" i="2" s="1"/>
  <c r="J346" i="2" l="1"/>
  <c r="C347" i="2" s="1"/>
  <c r="D347" i="2" s="1"/>
  <c r="E347" i="2" s="1"/>
  <c r="F347" i="2" l="1"/>
  <c r="G347" i="2"/>
  <c r="I347" i="2" s="1"/>
  <c r="J347" i="2" s="1"/>
  <c r="C348" i="2" s="1"/>
  <c r="F348" i="2" l="1"/>
  <c r="D348" i="2"/>
  <c r="E348" i="2" s="1"/>
  <c r="G348" i="2" l="1"/>
  <c r="I348" i="2" s="1"/>
  <c r="J348" i="2" s="1"/>
  <c r="C349" i="2" s="1"/>
  <c r="F349" i="2" l="1"/>
  <c r="D349" i="2"/>
  <c r="E349" i="2" s="1"/>
  <c r="G349" i="2" l="1"/>
  <c r="I349" i="2" s="1"/>
  <c r="J349" i="2" s="1"/>
  <c r="C350" i="2" s="1"/>
  <c r="D350" i="2" l="1"/>
  <c r="E350" i="2" s="1"/>
  <c r="F350" i="2"/>
  <c r="G350" i="2" s="1"/>
  <c r="I350" i="2" s="1"/>
  <c r="J350" i="2" l="1"/>
  <c r="C351" i="2" s="1"/>
  <c r="D351" i="2" l="1"/>
  <c r="E351" i="2" s="1"/>
  <c r="F351" i="2"/>
  <c r="G351" i="2" l="1"/>
  <c r="I351" i="2" s="1"/>
  <c r="J351" i="2" s="1"/>
  <c r="C352" i="2" s="1"/>
  <c r="F352" i="2" l="1"/>
  <c r="D352" i="2"/>
  <c r="E352" i="2" s="1"/>
  <c r="G352" i="2" l="1"/>
  <c r="I352" i="2" s="1"/>
  <c r="J352" i="2" l="1"/>
  <c r="C353" i="2" s="1"/>
  <c r="F353" i="2" l="1"/>
  <c r="D353" i="2"/>
  <c r="E353" i="2" s="1"/>
  <c r="G353" i="2" l="1"/>
  <c r="I353" i="2" s="1"/>
  <c r="J353" i="2" l="1"/>
  <c r="C354" i="2" s="1"/>
  <c r="F354" i="2" l="1"/>
  <c r="D354" i="2"/>
  <c r="E354" i="2" s="1"/>
  <c r="G354" i="2" l="1"/>
  <c r="I354" i="2" s="1"/>
  <c r="J354" i="2" l="1"/>
  <c r="C355" i="2" s="1"/>
  <c r="F355" i="2" l="1"/>
  <c r="D355" i="2"/>
  <c r="E355" i="2" s="1"/>
  <c r="G355" i="2" l="1"/>
  <c r="I355" i="2" s="1"/>
  <c r="J355" i="2" s="1"/>
  <c r="C356" i="2" s="1"/>
  <c r="D356" i="2" l="1"/>
  <c r="E356" i="2" s="1"/>
  <c r="F356" i="2"/>
  <c r="G356" i="2" l="1"/>
  <c r="I356" i="2" s="1"/>
  <c r="J356" i="2" s="1"/>
  <c r="C357" i="2" s="1"/>
  <c r="D357" i="2" l="1"/>
  <c r="E357" i="2" s="1"/>
  <c r="F357" i="2"/>
  <c r="G357" i="2" s="1"/>
  <c r="I357" i="2" s="1"/>
  <c r="J357" i="2" l="1"/>
  <c r="C358" i="2" s="1"/>
  <c r="F358" i="2" l="1"/>
  <c r="D358" i="2"/>
  <c r="E358" i="2" s="1"/>
  <c r="G358" i="2" l="1"/>
  <c r="I358" i="2" s="1"/>
  <c r="J358" i="2" l="1"/>
  <c r="C359" i="2" s="1"/>
  <c r="F359" i="2" l="1"/>
  <c r="D359" i="2"/>
  <c r="E359" i="2" s="1"/>
  <c r="G359" i="2" l="1"/>
  <c r="I359" i="2" s="1"/>
  <c r="J359" i="2" s="1"/>
  <c r="C360" i="2" s="1"/>
  <c r="F360" i="2" l="1"/>
  <c r="D360" i="2"/>
  <c r="E360" i="2" s="1"/>
  <c r="G360" i="2" l="1"/>
  <c r="I360" i="2" s="1"/>
  <c r="J360" i="2" s="1"/>
  <c r="C361" i="2" s="1"/>
  <c r="D361" i="2" l="1"/>
  <c r="E361" i="2" s="1"/>
  <c r="F361" i="2"/>
  <c r="G361" i="2" s="1"/>
  <c r="I361" i="2" s="1"/>
  <c r="J361" i="2" l="1"/>
  <c r="C362" i="2" s="1"/>
  <c r="D362" i="2" l="1"/>
  <c r="E362" i="2" s="1"/>
  <c r="F362" i="2"/>
  <c r="G362" i="2" s="1"/>
  <c r="I362" i="2" s="1"/>
  <c r="J362" i="2" l="1"/>
  <c r="C363" i="2" s="1"/>
  <c r="D363" i="2" l="1"/>
  <c r="E363" i="2" s="1"/>
  <c r="F363" i="2"/>
  <c r="G363" i="2" l="1"/>
  <c r="I363" i="2" s="1"/>
  <c r="J363" i="2"/>
  <c r="C364" i="2" s="1"/>
  <c r="D364" i="2" l="1"/>
  <c r="E364" i="2" s="1"/>
  <c r="F364" i="2"/>
  <c r="G364" i="2" l="1"/>
  <c r="I364" i="2" s="1"/>
  <c r="J364" i="2" s="1"/>
  <c r="C365" i="2" s="1"/>
  <c r="F365" i="2" l="1"/>
  <c r="D365" i="2"/>
  <c r="E365" i="2" s="1"/>
  <c r="G365" i="2" l="1"/>
  <c r="I365" i="2" s="1"/>
  <c r="J365" i="2" s="1"/>
  <c r="C366" i="2" s="1"/>
  <c r="D366" i="2" s="1"/>
  <c r="E366" i="2" s="1"/>
  <c r="F366" i="2" l="1"/>
  <c r="G366" i="2" s="1"/>
  <c r="I366" i="2" s="1"/>
  <c r="J366" i="2" s="1"/>
  <c r="C367" i="2" s="1"/>
  <c r="F367" i="2" l="1"/>
  <c r="D367" i="2"/>
  <c r="E367" i="2" s="1"/>
  <c r="G367" i="2" l="1"/>
  <c r="I367" i="2" s="1"/>
  <c r="J367" i="2" s="1"/>
  <c r="C368" i="2" s="1"/>
  <c r="D368" i="2" l="1"/>
  <c r="E368" i="2" s="1"/>
  <c r="F368" i="2"/>
  <c r="G368" i="2" s="1"/>
  <c r="I368" i="2" s="1"/>
  <c r="J368" i="2" l="1"/>
  <c r="C369" i="2" s="1"/>
  <c r="D369" i="2" l="1"/>
  <c r="E369" i="2" s="1"/>
  <c r="F369" i="2"/>
  <c r="G369" i="2" s="1"/>
  <c r="I369" i="2" s="1"/>
  <c r="J369" i="2" l="1"/>
  <c r="C370" i="2" s="1"/>
  <c r="D370" i="2" l="1"/>
  <c r="E370" i="2" s="1"/>
  <c r="F370" i="2"/>
  <c r="G370" i="2" s="1"/>
  <c r="I370" i="2" s="1"/>
  <c r="J370" i="2" l="1"/>
  <c r="C371" i="2" s="1"/>
  <c r="F371" i="2" l="1"/>
  <c r="D371" i="2"/>
  <c r="E371" i="2" s="1"/>
  <c r="G371" i="2" l="1"/>
  <c r="I371" i="2" s="1"/>
  <c r="J371" i="2" s="1"/>
  <c r="C372" i="2" s="1"/>
  <c r="D372" i="2" l="1"/>
  <c r="E372" i="2" s="1"/>
  <c r="F372" i="2"/>
  <c r="G372" i="2" s="1"/>
  <c r="I372" i="2" s="1"/>
  <c r="G3" i="2"/>
  <c r="G4" i="2" s="1"/>
  <c r="G7" i="2" s="1"/>
  <c r="G8" i="2" s="1"/>
  <c r="J372" i="2" l="1"/>
  <c r="C373" i="2" s="1"/>
  <c r="D373" i="2" l="1"/>
  <c r="E373" i="2" s="1"/>
  <c r="F373" i="2"/>
  <c r="G373" i="2" l="1"/>
  <c r="I373" i="2" s="1"/>
  <c r="J373" i="2" s="1"/>
  <c r="C374" i="2" s="1"/>
  <c r="F374" i="2" l="1"/>
  <c r="D374" i="2"/>
  <c r="E374" i="2" s="1"/>
  <c r="G374" i="2" l="1"/>
  <c r="I374" i="2" s="1"/>
  <c r="J374" i="2" l="1"/>
  <c r="C375" i="2" s="1"/>
  <c r="D375" i="2" l="1"/>
  <c r="E375" i="2" s="1"/>
  <c r="F375" i="2"/>
  <c r="G375" i="2" s="1"/>
  <c r="I375" i="2" s="1"/>
  <c r="J375" i="2" l="1"/>
  <c r="C376" i="2" s="1"/>
  <c r="F376" i="2" l="1"/>
  <c r="D376" i="2"/>
  <c r="E376" i="2" s="1"/>
  <c r="G376" i="2" l="1"/>
  <c r="I376" i="2" s="1"/>
  <c r="J376" i="2" l="1"/>
  <c r="C377" i="2" s="1"/>
  <c r="F377" i="2" l="1"/>
  <c r="D377" i="2"/>
  <c r="E377" i="2" s="1"/>
  <c r="G377" i="2" l="1"/>
  <c r="I377" i="2" s="1"/>
  <c r="J377" i="2" s="1"/>
  <c r="C378" i="2" s="1"/>
  <c r="F378" i="2" l="1"/>
  <c r="D378" i="2"/>
  <c r="E378" i="2" s="1"/>
  <c r="G378" i="2" l="1"/>
  <c r="I378" i="2" s="1"/>
  <c r="J378" i="2" l="1"/>
  <c r="C379" i="2" s="1"/>
  <c r="D379" i="2" l="1"/>
  <c r="E379" i="2" s="1"/>
  <c r="F379" i="2"/>
  <c r="G379" i="2" s="1"/>
  <c r="I379" i="2" s="1"/>
  <c r="J379" i="2" l="1"/>
  <c r="C380" i="2" s="1"/>
  <c r="D380" i="2" l="1"/>
  <c r="E380" i="2" s="1"/>
  <c r="F380" i="2"/>
  <c r="G380" i="2" s="1"/>
  <c r="I380" i="2" s="1"/>
  <c r="J380" i="2" l="1"/>
  <c r="C381" i="2" s="1"/>
  <c r="F381" i="2" l="1"/>
  <c r="D381" i="2"/>
  <c r="E381" i="2" s="1"/>
  <c r="G381" i="2" l="1"/>
  <c r="I381" i="2" s="1"/>
  <c r="J381" i="2" l="1"/>
  <c r="C382" i="2" s="1"/>
  <c r="D382" i="2" l="1"/>
  <c r="E382" i="2" s="1"/>
  <c r="F382" i="2"/>
  <c r="G382" i="2" s="1"/>
  <c r="I382" i="2" s="1"/>
  <c r="J382" i="2" l="1"/>
  <c r="C383" i="2" s="1"/>
  <c r="F383" i="2" l="1"/>
  <c r="D383" i="2"/>
  <c r="E383" i="2" s="1"/>
  <c r="G383" i="2" l="1"/>
  <c r="I383" i="2" s="1"/>
  <c r="J383" i="2" s="1"/>
  <c r="C384" i="2" s="1"/>
  <c r="D384" i="2" l="1"/>
  <c r="E384" i="2" s="1"/>
  <c r="F384" i="2"/>
  <c r="G384" i="2" s="1"/>
  <c r="I384" i="2" s="1"/>
  <c r="J384" i="2" l="1"/>
  <c r="C385" i="2" s="1"/>
  <c r="F385" i="2" l="1"/>
  <c r="D385" i="2"/>
  <c r="E385" i="2" s="1"/>
  <c r="G385" i="2" l="1"/>
  <c r="I385" i="2" s="1"/>
  <c r="J385" i="2" s="1"/>
  <c r="C386" i="2" s="1"/>
  <c r="F386" i="2" l="1"/>
  <c r="D386" i="2"/>
  <c r="E386" i="2" s="1"/>
  <c r="G386" i="2" l="1"/>
  <c r="I386" i="2" s="1"/>
  <c r="J386" i="2" s="1"/>
  <c r="C387" i="2" s="1"/>
  <c r="D387" i="2" l="1"/>
  <c r="E387" i="2" s="1"/>
  <c r="F387" i="2"/>
  <c r="G387" i="2" s="1"/>
  <c r="I387" i="2" s="1"/>
  <c r="J387" i="2" l="1"/>
  <c r="C388" i="2" s="1"/>
  <c r="F388" i="2" l="1"/>
  <c r="D388" i="2"/>
  <c r="E388" i="2" s="1"/>
  <c r="G388" i="2" l="1"/>
  <c r="I388" i="2" s="1"/>
  <c r="J388" i="2" s="1"/>
  <c r="C389" i="2" s="1"/>
  <c r="D389" i="2" l="1"/>
  <c r="E389" i="2" s="1"/>
  <c r="F389" i="2"/>
  <c r="G389" i="2" s="1"/>
  <c r="I389" i="2" s="1"/>
  <c r="J389" i="2" l="1"/>
  <c r="C390" i="2" s="1"/>
  <c r="D390" i="2" l="1"/>
  <c r="E390" i="2" s="1"/>
  <c r="F390" i="2"/>
  <c r="G390" i="2" s="1"/>
  <c r="I390" i="2" s="1"/>
  <c r="J390" i="2" l="1"/>
  <c r="C391" i="2" s="1"/>
  <c r="F391" i="2" l="1"/>
  <c r="D391" i="2"/>
  <c r="E391" i="2" s="1"/>
  <c r="G391" i="2" l="1"/>
  <c r="I391" i="2" s="1"/>
  <c r="J391" i="2" s="1"/>
  <c r="C392" i="2" s="1"/>
  <c r="D392" i="2" l="1"/>
  <c r="E392" i="2" s="1"/>
  <c r="F392" i="2"/>
  <c r="G392" i="2" l="1"/>
  <c r="I392" i="2" s="1"/>
  <c r="J392" i="2" s="1"/>
  <c r="C393" i="2" s="1"/>
  <c r="D393" i="2" l="1"/>
  <c r="E393" i="2" s="1"/>
  <c r="F393" i="2"/>
  <c r="G393" i="2" s="1"/>
  <c r="I393" i="2" s="1"/>
  <c r="J393" i="2" l="1"/>
  <c r="C394" i="2" s="1"/>
  <c r="F394" i="2" l="1"/>
  <c r="D394" i="2"/>
  <c r="E394" i="2" s="1"/>
  <c r="G394" i="2" l="1"/>
  <c r="I394" i="2" s="1"/>
  <c r="J394" i="2" s="1"/>
  <c r="C395" i="2" s="1"/>
  <c r="D395" i="2" l="1"/>
  <c r="E395" i="2" s="1"/>
  <c r="F395" i="2"/>
  <c r="G395" i="2" s="1"/>
  <c r="I395" i="2" s="1"/>
  <c r="J395" i="2" l="1"/>
  <c r="C396" i="2" s="1"/>
  <c r="D396" i="2" l="1"/>
  <c r="E396" i="2" s="1"/>
  <c r="F396" i="2"/>
  <c r="G396" i="2" s="1"/>
  <c r="I396" i="2" s="1"/>
  <c r="J396" i="2" l="1"/>
  <c r="C397" i="2" s="1"/>
  <c r="D397" i="2" l="1"/>
  <c r="E397" i="2" s="1"/>
  <c r="F397" i="2"/>
  <c r="G397" i="2" s="1"/>
  <c r="I397" i="2" s="1"/>
  <c r="J397" i="2" l="1"/>
  <c r="C398" i="2" s="1"/>
  <c r="D398" i="2" l="1"/>
  <c r="E398" i="2" s="1"/>
  <c r="F398" i="2"/>
  <c r="G398" i="2" l="1"/>
  <c r="I398" i="2" s="1"/>
  <c r="J398" i="2" s="1"/>
  <c r="C399" i="2" s="1"/>
  <c r="F399" i="2" l="1"/>
  <c r="D399" i="2"/>
  <c r="E399" i="2" s="1"/>
  <c r="G399" i="2" l="1"/>
  <c r="I399" i="2" s="1"/>
  <c r="J399" i="2" s="1"/>
  <c r="C400" i="2" s="1"/>
  <c r="F400" i="2" l="1"/>
  <c r="D400" i="2"/>
  <c r="E400" i="2" s="1"/>
  <c r="G400" i="2" l="1"/>
  <c r="I400" i="2" s="1"/>
  <c r="J400" i="2" s="1"/>
  <c r="C401" i="2" s="1"/>
  <c r="F401" i="2" l="1"/>
  <c r="D401" i="2"/>
  <c r="E401" i="2" s="1"/>
  <c r="G401" i="2" l="1"/>
  <c r="I401" i="2" s="1"/>
  <c r="J401" i="2" l="1"/>
  <c r="C402" i="2" s="1"/>
  <c r="F402" i="2" l="1"/>
  <c r="D402" i="2"/>
  <c r="E402" i="2" s="1"/>
  <c r="G402" i="2" l="1"/>
  <c r="I402" i="2" s="1"/>
  <c r="J402" i="2" s="1"/>
  <c r="C403" i="2" s="1"/>
  <c r="F403" i="2" l="1"/>
  <c r="D403" i="2"/>
  <c r="E403" i="2" s="1"/>
  <c r="G403" i="2" l="1"/>
  <c r="I403" i="2" s="1"/>
  <c r="J403" i="2" s="1"/>
  <c r="C404" i="2" s="1"/>
  <c r="F404" i="2" l="1"/>
  <c r="D404" i="2"/>
  <c r="E404" i="2" s="1"/>
  <c r="G404" i="2" l="1"/>
  <c r="I404" i="2" s="1"/>
  <c r="J404" i="2" s="1"/>
  <c r="C405" i="2" s="1"/>
  <c r="D405" i="2" l="1"/>
  <c r="E405" i="2" s="1"/>
  <c r="F405" i="2"/>
  <c r="G405" i="2" s="1"/>
  <c r="I405" i="2" s="1"/>
  <c r="J405" i="2" l="1"/>
  <c r="C406" i="2" s="1"/>
  <c r="F406" i="2" l="1"/>
  <c r="D406" i="2"/>
  <c r="E406" i="2" s="1"/>
  <c r="G406" i="2" l="1"/>
  <c r="I406" i="2" s="1"/>
  <c r="J406" i="2" s="1"/>
  <c r="C407" i="2" s="1"/>
  <c r="D407" i="2" l="1"/>
  <c r="E407" i="2" s="1"/>
  <c r="F407" i="2"/>
  <c r="G407" i="2" s="1"/>
  <c r="I407" i="2" s="1"/>
  <c r="J407" i="2" l="1"/>
  <c r="C408" i="2" s="1"/>
  <c r="D408" i="2" l="1"/>
  <c r="E408" i="2" s="1"/>
  <c r="F408" i="2"/>
  <c r="G408" i="2" l="1"/>
  <c r="I408" i="2" s="1"/>
  <c r="J408" i="2" s="1"/>
  <c r="C409" i="2" s="1"/>
  <c r="F409" i="2" l="1"/>
  <c r="D409" i="2"/>
  <c r="E409" i="2" s="1"/>
  <c r="G409" i="2" l="1"/>
  <c r="I409" i="2" s="1"/>
  <c r="J409" i="2" s="1"/>
  <c r="C410" i="2" s="1"/>
  <c r="F410" i="2" l="1"/>
  <c r="D410" i="2"/>
  <c r="E410" i="2" s="1"/>
  <c r="G410" i="2" l="1"/>
  <c r="I410" i="2" s="1"/>
  <c r="J410" i="2" s="1"/>
  <c r="C411" i="2" s="1"/>
  <c r="D411" i="2" l="1"/>
  <c r="E411" i="2" s="1"/>
  <c r="F411" i="2"/>
  <c r="G411" i="2" l="1"/>
  <c r="I411" i="2" s="1"/>
  <c r="J411" i="2" s="1"/>
  <c r="C412" i="2" s="1"/>
  <c r="F412" i="2" l="1"/>
  <c r="D412" i="2"/>
  <c r="E412" i="2" s="1"/>
  <c r="G412" i="2" l="1"/>
  <c r="I412" i="2" s="1"/>
  <c r="J412" i="2" s="1"/>
  <c r="C413" i="2" s="1"/>
  <c r="F413" i="2" l="1"/>
  <c r="D413" i="2"/>
  <c r="E413" i="2" s="1"/>
  <c r="G413" i="2" l="1"/>
  <c r="I413" i="2" s="1"/>
  <c r="J413" i="2" l="1"/>
  <c r="C414" i="2" s="1"/>
  <c r="D414" i="2" l="1"/>
  <c r="E414" i="2" s="1"/>
  <c r="F414" i="2"/>
  <c r="G414" i="2" s="1"/>
  <c r="I414" i="2" s="1"/>
  <c r="J414" i="2" l="1"/>
  <c r="C415" i="2" s="1"/>
  <c r="D415" i="2" l="1"/>
  <c r="E415" i="2" s="1"/>
  <c r="F415" i="2"/>
  <c r="G415" i="2" s="1"/>
  <c r="I415" i="2" s="1"/>
  <c r="J415" i="2" l="1"/>
  <c r="C416" i="2" s="1"/>
  <c r="F416" i="2" l="1"/>
  <c r="D416" i="2"/>
  <c r="E416" i="2" s="1"/>
  <c r="G416" i="2" l="1"/>
  <c r="I416" i="2" s="1"/>
  <c r="J416" i="2" s="1"/>
  <c r="C417" i="2" s="1"/>
  <c r="F417" i="2" l="1"/>
  <c r="D417" i="2"/>
  <c r="E417" i="2" s="1"/>
  <c r="G417" i="2" l="1"/>
  <c r="I417" i="2" s="1"/>
  <c r="J417" i="2" s="1"/>
  <c r="C418" i="2" s="1"/>
  <c r="D418" i="2" l="1"/>
  <c r="E418" i="2" s="1"/>
  <c r="F418" i="2"/>
  <c r="G418" i="2" s="1"/>
  <c r="I418" i="2" s="1"/>
  <c r="J418" i="2" l="1"/>
  <c r="C419" i="2" s="1"/>
  <c r="F419" i="2" l="1"/>
  <c r="D419" i="2"/>
  <c r="E419" i="2" s="1"/>
  <c r="G419" i="2" l="1"/>
  <c r="I419" i="2" s="1"/>
  <c r="J419" i="2" s="1"/>
  <c r="C420" i="2" s="1"/>
  <c r="F420" i="2" l="1"/>
  <c r="D420" i="2"/>
  <c r="E420" i="2" s="1"/>
  <c r="G420" i="2" l="1"/>
  <c r="I420" i="2" s="1"/>
  <c r="J420" i="2" s="1"/>
  <c r="C421" i="2" s="1"/>
  <c r="F421" i="2" l="1"/>
  <c r="D421" i="2"/>
  <c r="E421" i="2" s="1"/>
  <c r="G421" i="2" l="1"/>
  <c r="I421" i="2" s="1"/>
  <c r="J421" i="2" l="1"/>
  <c r="C422" i="2" s="1"/>
  <c r="D422" i="2" l="1"/>
  <c r="E422" i="2" s="1"/>
  <c r="F422" i="2"/>
  <c r="G422" i="2" s="1"/>
  <c r="I422" i="2" s="1"/>
  <c r="J422" i="2" l="1"/>
  <c r="C423" i="2" s="1"/>
  <c r="F423" i="2" l="1"/>
  <c r="D423" i="2"/>
  <c r="E423" i="2" s="1"/>
  <c r="G423" i="2" l="1"/>
  <c r="I423" i="2" s="1"/>
  <c r="J423" i="2" l="1"/>
  <c r="C424" i="2" s="1"/>
  <c r="D424" i="2" l="1"/>
  <c r="E424" i="2" s="1"/>
  <c r="F424" i="2"/>
  <c r="G424" i="2" s="1"/>
  <c r="I424" i="2" s="1"/>
  <c r="J424" i="2" l="1"/>
  <c r="C425" i="2" s="1"/>
  <c r="F425" i="2" l="1"/>
  <c r="D425" i="2"/>
  <c r="E425" i="2" s="1"/>
  <c r="G425" i="2" l="1"/>
  <c r="I425" i="2" s="1"/>
  <c r="J425" i="2" s="1"/>
  <c r="C426" i="2" s="1"/>
  <c r="F426" i="2" l="1"/>
  <c r="D426" i="2"/>
  <c r="E426" i="2" s="1"/>
  <c r="G426" i="2" l="1"/>
  <c r="I426" i="2" s="1"/>
  <c r="J426" i="2" s="1"/>
  <c r="C427" i="2" s="1"/>
  <c r="F427" i="2" l="1"/>
  <c r="D427" i="2"/>
  <c r="E427" i="2" s="1"/>
  <c r="G427" i="2" l="1"/>
  <c r="I427" i="2" s="1"/>
  <c r="J427" i="2" s="1"/>
  <c r="C428" i="2" s="1"/>
  <c r="F428" i="2" l="1"/>
  <c r="D428" i="2"/>
  <c r="E428" i="2" s="1"/>
  <c r="G428" i="2" l="1"/>
  <c r="I428" i="2" s="1"/>
  <c r="J428" i="2" s="1"/>
  <c r="C429" i="2" s="1"/>
  <c r="F429" i="2" l="1"/>
  <c r="D429" i="2"/>
  <c r="E429" i="2" s="1"/>
  <c r="G429" i="2" l="1"/>
  <c r="I429" i="2" s="1"/>
  <c r="J429" i="2" l="1"/>
  <c r="C430" i="2" s="1"/>
  <c r="D430" i="2" l="1"/>
  <c r="E430" i="2" s="1"/>
  <c r="F430" i="2"/>
  <c r="G430" i="2" s="1"/>
  <c r="I430" i="2" s="1"/>
  <c r="J430" i="2" l="1"/>
  <c r="C431" i="2" s="1"/>
  <c r="F431" i="2" l="1"/>
  <c r="D431" i="2"/>
  <c r="E431" i="2" s="1"/>
  <c r="G431" i="2" l="1"/>
  <c r="I431" i="2" s="1"/>
  <c r="G5" i="2" l="1"/>
  <c r="G6" i="2" a="1"/>
  <c r="G6" i="2" s="1"/>
  <c r="J43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<sst xmlns="http://schemas.openxmlformats.org/spreadsheetml/2006/main" count="93" uniqueCount="33">
  <si>
    <t>Parâmetros</t>
  </si>
  <si>
    <t>Valores</t>
  </si>
  <si>
    <t>Valor</t>
  </si>
  <si>
    <t>Entrada</t>
  </si>
  <si>
    <t>Valor financiado</t>
  </si>
  <si>
    <t>Taxa a.m.</t>
  </si>
  <si>
    <t>Parcelas</t>
  </si>
  <si>
    <t>Valor extras</t>
  </si>
  <si>
    <t>Resumo</t>
  </si>
  <si>
    <t>Total financiado</t>
  </si>
  <si>
    <t>Total pago</t>
  </si>
  <si>
    <t>Total Juros</t>
  </si>
  <si>
    <t>Valor primeira parcela</t>
  </si>
  <si>
    <t>Valor última parcela</t>
  </si>
  <si>
    <t>Juros totais</t>
  </si>
  <si>
    <t>PARC</t>
  </si>
  <si>
    <t>DATA</t>
  </si>
  <si>
    <t>JUROS</t>
  </si>
  <si>
    <t>SALDO ATUAL</t>
  </si>
  <si>
    <t>AMORTIZAÇÃO</t>
  </si>
  <si>
    <t>PAGAMENTO</t>
  </si>
  <si>
    <t>PGTO EXTRA</t>
  </si>
  <si>
    <t>PGTO TOTAL</t>
  </si>
  <si>
    <t>NOVO SALDO</t>
  </si>
  <si>
    <t>Anos</t>
  </si>
  <si>
    <t>Taxa a.a.</t>
  </si>
  <si>
    <t>SALDO INICIAL</t>
  </si>
  <si>
    <t>STATUS</t>
  </si>
  <si>
    <t>Juros mês</t>
  </si>
  <si>
    <t>SALDO DEVEDOR</t>
  </si>
  <si>
    <t>a.m</t>
  </si>
  <si>
    <t>CMGR</t>
  </si>
  <si>
    <t>CAGR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</si>
</sst>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0.000%"/>
    <numFmt numFmtId="165" formatCode="_-&quot;R$&quot;\ * #,##0.000_-;\-&quot;R$&quot;\ * #,##0.000_-;_-&quot;R$&quot;\ * &quot;-&quot;???_-;_-@_-"/>
    <numFmt numFmtId="166" formatCode="_-&quot;R$&quot;\ * #,##0.00_-;\-&quot;R$&quot;\ * #,##0.00_-;_-&quot;R$&quot;\ * &quot;-&quot;???_-;_-@_-"/>
    <numFmt numFmtId="167" formatCode="0.00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44" fontId="0" fillId="0" borderId="0" xfId="0" applyNumberFormat="1"/>
    <xf numFmtId="44" fontId="0" fillId="0" borderId="1" xfId="0" applyNumberFormat="1" applyBorder="1"/>
    <xf numFmtId="164" fontId="0" fillId="0" borderId="1" xfId="2" applyNumberFormat="1" applyFont="1" applyBorder="1"/>
    <xf numFmtId="44" fontId="0" fillId="0" borderId="1" xfId="2" applyNumberFormat="1" applyFont="1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165" fontId="0" fillId="0" borderId="1" xfId="0" applyNumberFormat="1" applyBorder="1"/>
    <xf numFmtId="4" fontId="0" fillId="0" borderId="0" xfId="0" applyNumberFormat="1"/>
    <xf numFmtId="166" fontId="0" fillId="0" borderId="1" xfId="0" applyNumberFormat="1" applyBorder="1"/>
    <xf numFmtId="44" fontId="0" fillId="0" borderId="1" xfId="1" applyFont="1" applyFill="1" applyBorder="1"/>
    <xf numFmtId="10" fontId="0" fillId="0" borderId="0" xfId="0" applyNumberFormat="1"/>
    <xf numFmtId="167" fontId="0" fillId="0" borderId="0" xfId="2" applyNumberFormat="1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/>
    <xf numFmtId="44" fontId="3" fillId="0" borderId="1" xfId="1" applyFont="1" applyBorder="1"/>
    <xf numFmtId="44" fontId="3" fillId="0" borderId="1" xfId="0" applyNumberFormat="1" applyFont="1" applyBorder="1"/>
    <xf numFmtId="4" fontId="3" fillId="0" borderId="0" xfId="0" applyNumberFormat="1" applyFont="1"/>
    <xf numFmtId="44" fontId="3" fillId="0" borderId="0" xfId="0" applyNumberFormat="1" applyFont="1"/>
    <xf numFmtId="44" fontId="3" fillId="0" borderId="1" xfId="2" applyNumberFormat="1" applyFont="1" applyBorder="1"/>
    <xf numFmtId="164" fontId="3" fillId="0" borderId="1" xfId="2" applyNumberFormat="1" applyFont="1" applyBorder="1"/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/>
    <xf numFmtId="166" fontId="3" fillId="0" borderId="1" xfId="0" applyNumberFormat="1" applyFont="1" applyBorder="1"/>
    <xf numFmtId="44" fontId="3" fillId="0" borderId="1" xfId="1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CEDD9-70B8-4A91-8CFF-35C8F5752F1B}">
  <dimension ref="A1:K371"/>
  <sheetViews>
    <sheetView showGridLines="0" workbookViewId="0">
      <pane ySplit="11" topLeftCell="A12" activePane="bottomLeft" state="frozen"/>
      <selection pane="bottomLeft" sqref="A1:XFD1048576"/>
    </sheetView>
  </sheetViews>
  <sheetFormatPr defaultRowHeight="15" x14ac:dyDescent="0.25"/>
  <cols>
    <col min="1" max="1" width="5.7109375" bestFit="1" customWidth="1"/>
    <col min="2" max="2" width="15.5703125" bestFit="1" customWidth="1"/>
    <col min="3" max="3" width="15.85546875" bestFit="1" customWidth="1"/>
    <col min="4" max="5" width="14.28515625" bestFit="1" customWidth="1"/>
    <col min="6" max="6" width="20.85546875" bestFit="1" customWidth="1"/>
    <col min="7" max="7" width="14.42578125" bestFit="1" customWidth="1"/>
    <col min="8" max="9" width="13.28515625" bestFit="1" customWidth="1"/>
    <col min="10" max="11" width="14.28515625" bestFit="1" customWidth="1"/>
  </cols>
  <sheetData>
    <row r="1" spans="1:11" x14ac:dyDescent="0.25">
      <c r="B1" s="1" t="s">
        <v>0</v>
      </c>
      <c r="C1" s="1" t="s">
        <v>1</v>
      </c>
      <c r="F1" s="1" t="s">
        <v>8</v>
      </c>
      <c r="G1" s="1" t="s">
        <v>1</v>
      </c>
    </row>
    <row r="2" spans="1:11" x14ac:dyDescent="0.25">
      <c r="B2" s="2" t="s">
        <v>2</v>
      </c>
      <c r="C2" s="3">
        <v>430000</v>
      </c>
      <c r="F2" s="2" t="s">
        <v>9</v>
      </c>
      <c r="G2" s="5">
        <f>C4</f>
        <v>300000</v>
      </c>
    </row>
    <row r="3" spans="1:11" x14ac:dyDescent="0.25">
      <c r="B3" s="2" t="s">
        <v>3</v>
      </c>
      <c r="C3" s="3">
        <v>130000</v>
      </c>
      <c r="F3" s="2" t="s">
        <v>10</v>
      </c>
      <c r="G3" s="5">
        <f>SUM(I12:I371)</f>
        <v>637457.32656074909</v>
      </c>
      <c r="H3" s="11"/>
      <c r="I3" s="4"/>
    </row>
    <row r="4" spans="1:11" x14ac:dyDescent="0.25">
      <c r="B4" s="2" t="s">
        <v>4</v>
      </c>
      <c r="C4" s="3">
        <f>C2-C3</f>
        <v>300000</v>
      </c>
      <c r="F4" s="2" t="s">
        <v>11</v>
      </c>
      <c r="G4" s="7">
        <f>G3-G2</f>
        <v>337457.32656074909</v>
      </c>
    </row>
    <row r="5" spans="1:11" x14ac:dyDescent="0.25">
      <c r="B5" s="2" t="s">
        <v>25</v>
      </c>
      <c r="C5" s="6">
        <v>7.7399999999999997E-2</v>
      </c>
      <c r="F5" s="2" t="s">
        <v>12</v>
      </c>
      <c r="G5" s="5">
        <f>I12</f>
        <v>2702.903009570171</v>
      </c>
    </row>
    <row r="6" spans="1:11" x14ac:dyDescent="0.25">
      <c r="B6" s="2" t="s">
        <v>5</v>
      </c>
      <c r="C6" s="6">
        <f>(1+C5)^(1/12)-1</f>
        <v>6.2318989207894582E-3</v>
      </c>
      <c r="F6" s="2" t="s">
        <v>13</v>
      </c>
      <c r="G6" s="5">
        <f>I371</f>
        <v>838.52658243399128</v>
      </c>
    </row>
    <row r="7" spans="1:11" x14ac:dyDescent="0.25">
      <c r="B7" s="2" t="s">
        <v>24</v>
      </c>
      <c r="C7" s="2">
        <v>30</v>
      </c>
      <c r="F7" s="2" t="s">
        <v>14</v>
      </c>
      <c r="G7" s="6">
        <f>G4/G3</f>
        <v>0.52938026201913879</v>
      </c>
    </row>
    <row r="8" spans="1:11" x14ac:dyDescent="0.25">
      <c r="B8" s="2" t="s">
        <v>6</v>
      </c>
      <c r="C8" s="2">
        <f>C7*12</f>
        <v>360</v>
      </c>
      <c r="F8" s="2" t="s">
        <v>28</v>
      </c>
      <c r="G8" s="6">
        <f>G7/(30*12)</f>
        <v>1.4705007278309412E-3</v>
      </c>
    </row>
    <row r="9" spans="1:11" x14ac:dyDescent="0.25">
      <c r="B9" s="2" t="s">
        <v>7</v>
      </c>
      <c r="C9" s="5">
        <f>SUM(H12:H371)</f>
        <v>0</v>
      </c>
    </row>
    <row r="11" spans="1:11" x14ac:dyDescent="0.25">
      <c r="A11" s="1" t="s">
        <v>15</v>
      </c>
      <c r="B11" s="1" t="s">
        <v>16</v>
      </c>
      <c r="C11" s="1" t="s">
        <v>26</v>
      </c>
      <c r="D11" s="1" t="s">
        <v>17</v>
      </c>
      <c r="E11" s="1" t="s">
        <v>18</v>
      </c>
      <c r="F11" s="1" t="s">
        <v>19</v>
      </c>
      <c r="G11" s="1" t="s">
        <v>20</v>
      </c>
      <c r="H11" s="1" t="s">
        <v>21</v>
      </c>
      <c r="I11" s="1" t="s">
        <v>22</v>
      </c>
      <c r="J11" s="1" t="s">
        <v>23</v>
      </c>
      <c r="K11" s="1" t="s">
        <v>27</v>
      </c>
    </row>
    <row r="12" spans="1:11" x14ac:dyDescent="0.25">
      <c r="A12" s="8">
        <v>1</v>
      </c>
      <c r="B12" s="9">
        <v>44444</v>
      </c>
      <c r="C12" s="5">
        <f>C4</f>
        <v>300000</v>
      </c>
      <c r="D12" s="10">
        <f>C12*$C$6</f>
        <v>1869.5696762368375</v>
      </c>
      <c r="E12" s="3">
        <f>C12+D12</f>
        <v>301869.56967623683</v>
      </c>
      <c r="F12" s="3">
        <f t="shared" ref="F12:F75" si="0">$C$4/$C$8</f>
        <v>833.33333333333337</v>
      </c>
      <c r="G12" s="5">
        <f>F12+D12</f>
        <v>2702.903009570171</v>
      </c>
      <c r="H12" s="5">
        <v>0</v>
      </c>
      <c r="I12" s="5">
        <f>H12+G12</f>
        <v>2702.903009570171</v>
      </c>
      <c r="J12" s="5">
        <f t="shared" ref="J12:J75" si="1">E12-I12</f>
        <v>299166.66666666669</v>
      </c>
      <c r="K12" s="2"/>
    </row>
    <row r="13" spans="1:11" x14ac:dyDescent="0.25">
      <c r="A13" s="8">
        <v>2</v>
      </c>
      <c r="B13" s="9">
        <v>44474</v>
      </c>
      <c r="C13" s="5">
        <f>J12</f>
        <v>299166.66666666669</v>
      </c>
      <c r="D13" s="10">
        <f t="shared" ref="D13:D76" si="2">C13*$C$6</f>
        <v>1864.3764271361797</v>
      </c>
      <c r="E13" s="3">
        <f t="shared" ref="E13:E76" si="3">C13+D13</f>
        <v>301031.04309380287</v>
      </c>
      <c r="F13" s="3">
        <f t="shared" si="0"/>
        <v>833.33333333333337</v>
      </c>
      <c r="G13" s="5">
        <f t="shared" ref="G13:G76" si="4">F13+D13</f>
        <v>2697.7097604695132</v>
      </c>
      <c r="H13" s="5">
        <v>0</v>
      </c>
      <c r="I13" s="5">
        <f t="shared" ref="I13:I76" si="5">H13+G13</f>
        <v>2697.7097604695132</v>
      </c>
      <c r="J13" s="5">
        <f t="shared" si="1"/>
        <v>298333.33333333337</v>
      </c>
      <c r="K13" s="2"/>
    </row>
    <row r="14" spans="1:11" x14ac:dyDescent="0.25">
      <c r="A14" s="8">
        <v>3</v>
      </c>
      <c r="B14" s="9">
        <v>44505</v>
      </c>
      <c r="C14" s="5">
        <f t="shared" ref="C14:C77" si="6">J13</f>
        <v>298333.33333333337</v>
      </c>
      <c r="D14" s="10">
        <f t="shared" si="2"/>
        <v>1859.1831780355219</v>
      </c>
      <c r="E14" s="3">
        <f t="shared" si="3"/>
        <v>300192.51651136891</v>
      </c>
      <c r="F14" s="3">
        <f t="shared" si="0"/>
        <v>833.33333333333337</v>
      </c>
      <c r="G14" s="5">
        <f t="shared" si="4"/>
        <v>2692.5165113688554</v>
      </c>
      <c r="H14" s="5">
        <v>0</v>
      </c>
      <c r="I14" s="5">
        <f t="shared" si="5"/>
        <v>2692.5165113688554</v>
      </c>
      <c r="J14" s="5">
        <f t="shared" si="1"/>
        <v>297500.00000000006</v>
      </c>
      <c r="K14" s="2"/>
    </row>
    <row r="15" spans="1:11" x14ac:dyDescent="0.25">
      <c r="A15" s="8">
        <v>4</v>
      </c>
      <c r="B15" s="9">
        <v>44535</v>
      </c>
      <c r="C15" s="5">
        <f t="shared" si="6"/>
        <v>297500.00000000006</v>
      </c>
      <c r="D15" s="10">
        <f t="shared" si="2"/>
        <v>1853.9899289348641</v>
      </c>
      <c r="E15" s="3">
        <f t="shared" si="3"/>
        <v>299353.9899289349</v>
      </c>
      <c r="F15" s="3">
        <f t="shared" si="0"/>
        <v>833.33333333333337</v>
      </c>
      <c r="G15" s="5">
        <f t="shared" si="4"/>
        <v>2687.3232622681976</v>
      </c>
      <c r="H15" s="5">
        <v>0</v>
      </c>
      <c r="I15" s="5">
        <f t="shared" si="5"/>
        <v>2687.3232622681976</v>
      </c>
      <c r="J15" s="5">
        <f t="shared" si="1"/>
        <v>296666.66666666669</v>
      </c>
      <c r="K15" s="2"/>
    </row>
    <row r="16" spans="1:11" x14ac:dyDescent="0.25">
      <c r="A16" s="8">
        <v>5</v>
      </c>
      <c r="B16" s="9">
        <v>44566</v>
      </c>
      <c r="C16" s="5">
        <f t="shared" si="6"/>
        <v>296666.66666666669</v>
      </c>
      <c r="D16" s="10">
        <f t="shared" si="2"/>
        <v>1848.7966798342061</v>
      </c>
      <c r="E16" s="3">
        <f t="shared" si="3"/>
        <v>298515.46334650088</v>
      </c>
      <c r="F16" s="3">
        <f t="shared" si="0"/>
        <v>833.33333333333337</v>
      </c>
      <c r="G16" s="5">
        <f t="shared" si="4"/>
        <v>2682.1300131675393</v>
      </c>
      <c r="H16" s="5">
        <v>0</v>
      </c>
      <c r="I16" s="5">
        <f t="shared" si="5"/>
        <v>2682.1300131675393</v>
      </c>
      <c r="J16" s="5">
        <f t="shared" si="1"/>
        <v>295833.33333333331</v>
      </c>
      <c r="K16" s="2"/>
    </row>
    <row r="17" spans="1:11" x14ac:dyDescent="0.25">
      <c r="A17" s="8">
        <v>6</v>
      </c>
      <c r="B17" s="9">
        <v>44597</v>
      </c>
      <c r="C17" s="5">
        <f t="shared" si="6"/>
        <v>295833.33333333331</v>
      </c>
      <c r="D17" s="10">
        <f t="shared" si="2"/>
        <v>1843.6034307335478</v>
      </c>
      <c r="E17" s="3">
        <f t="shared" si="3"/>
        <v>297676.93676406686</v>
      </c>
      <c r="F17" s="3">
        <f t="shared" si="0"/>
        <v>833.33333333333337</v>
      </c>
      <c r="G17" s="5">
        <f t="shared" si="4"/>
        <v>2676.9367640668811</v>
      </c>
      <c r="H17" s="5">
        <v>0</v>
      </c>
      <c r="I17" s="5">
        <f t="shared" si="5"/>
        <v>2676.9367640668811</v>
      </c>
      <c r="J17" s="5">
        <f t="shared" si="1"/>
        <v>295000</v>
      </c>
      <c r="K17" s="2"/>
    </row>
    <row r="18" spans="1:11" x14ac:dyDescent="0.25">
      <c r="A18" s="8">
        <v>7</v>
      </c>
      <c r="B18" s="9">
        <v>44625</v>
      </c>
      <c r="C18" s="5">
        <f t="shared" si="6"/>
        <v>295000</v>
      </c>
      <c r="D18" s="10">
        <f t="shared" si="2"/>
        <v>1838.4101816328903</v>
      </c>
      <c r="E18" s="3">
        <f t="shared" si="3"/>
        <v>296838.41018163291</v>
      </c>
      <c r="F18" s="3">
        <f t="shared" si="0"/>
        <v>833.33333333333337</v>
      </c>
      <c r="G18" s="5">
        <f t="shared" si="4"/>
        <v>2671.7435149662238</v>
      </c>
      <c r="H18" s="5">
        <v>0</v>
      </c>
      <c r="I18" s="5">
        <f t="shared" si="5"/>
        <v>2671.7435149662238</v>
      </c>
      <c r="J18" s="5">
        <f t="shared" si="1"/>
        <v>294166.66666666669</v>
      </c>
      <c r="K18" s="2"/>
    </row>
    <row r="19" spans="1:11" x14ac:dyDescent="0.25">
      <c r="A19" s="8">
        <v>8</v>
      </c>
      <c r="B19" s="9">
        <v>44656</v>
      </c>
      <c r="C19" s="5">
        <f t="shared" si="6"/>
        <v>294166.66666666669</v>
      </c>
      <c r="D19" s="10">
        <f t="shared" si="2"/>
        <v>1833.2169325322325</v>
      </c>
      <c r="E19" s="3">
        <f t="shared" si="3"/>
        <v>295999.88359919895</v>
      </c>
      <c r="F19" s="3">
        <f t="shared" si="0"/>
        <v>833.33333333333337</v>
      </c>
      <c r="G19" s="5">
        <f t="shared" si="4"/>
        <v>2666.550265865566</v>
      </c>
      <c r="H19" s="5">
        <v>0</v>
      </c>
      <c r="I19" s="5">
        <f t="shared" si="5"/>
        <v>2666.550265865566</v>
      </c>
      <c r="J19" s="5">
        <f t="shared" si="1"/>
        <v>293333.33333333337</v>
      </c>
      <c r="K19" s="2"/>
    </row>
    <row r="20" spans="1:11" x14ac:dyDescent="0.25">
      <c r="A20" s="8">
        <v>9</v>
      </c>
      <c r="B20" s="9">
        <v>44686</v>
      </c>
      <c r="C20" s="5">
        <f t="shared" si="6"/>
        <v>293333.33333333337</v>
      </c>
      <c r="D20" s="10">
        <f t="shared" si="2"/>
        <v>1828.0236834315747</v>
      </c>
      <c r="E20" s="3">
        <f t="shared" si="3"/>
        <v>295161.35701676493</v>
      </c>
      <c r="F20" s="3">
        <f t="shared" si="0"/>
        <v>833.33333333333337</v>
      </c>
      <c r="G20" s="5">
        <f t="shared" si="4"/>
        <v>2661.3570167649082</v>
      </c>
      <c r="H20" s="5">
        <v>0</v>
      </c>
      <c r="I20" s="5">
        <f t="shared" si="5"/>
        <v>2661.3570167649082</v>
      </c>
      <c r="J20" s="5">
        <f t="shared" si="1"/>
        <v>292500</v>
      </c>
      <c r="K20" s="2"/>
    </row>
    <row r="21" spans="1:11" x14ac:dyDescent="0.25">
      <c r="A21" s="8">
        <v>10</v>
      </c>
      <c r="B21" s="9">
        <v>44717</v>
      </c>
      <c r="C21" s="5">
        <f t="shared" si="6"/>
        <v>292500</v>
      </c>
      <c r="D21" s="10">
        <f t="shared" si="2"/>
        <v>1822.8304343309164</v>
      </c>
      <c r="E21" s="3">
        <f t="shared" si="3"/>
        <v>294322.83043433091</v>
      </c>
      <c r="F21" s="3">
        <f t="shared" si="0"/>
        <v>833.33333333333337</v>
      </c>
      <c r="G21" s="5">
        <f t="shared" si="4"/>
        <v>2656.1637676642499</v>
      </c>
      <c r="H21" s="5">
        <v>0</v>
      </c>
      <c r="I21" s="5">
        <f t="shared" si="5"/>
        <v>2656.1637676642499</v>
      </c>
      <c r="J21" s="5">
        <f t="shared" si="1"/>
        <v>291666.66666666669</v>
      </c>
      <c r="K21" s="2"/>
    </row>
    <row r="22" spans="1:11" x14ac:dyDescent="0.25">
      <c r="A22" s="8">
        <v>11</v>
      </c>
      <c r="B22" s="9">
        <v>44747</v>
      </c>
      <c r="C22" s="5">
        <f t="shared" si="6"/>
        <v>291666.66666666669</v>
      </c>
      <c r="D22" s="10">
        <f t="shared" si="2"/>
        <v>1817.6371852302589</v>
      </c>
      <c r="E22" s="3">
        <f t="shared" si="3"/>
        <v>293484.30385189696</v>
      </c>
      <c r="F22" s="3">
        <f t="shared" si="0"/>
        <v>833.33333333333337</v>
      </c>
      <c r="G22" s="5">
        <f t="shared" si="4"/>
        <v>2650.9705185635921</v>
      </c>
      <c r="H22" s="5">
        <v>0</v>
      </c>
      <c r="I22" s="5">
        <f t="shared" si="5"/>
        <v>2650.9705185635921</v>
      </c>
      <c r="J22" s="5">
        <f t="shared" si="1"/>
        <v>290833.33333333337</v>
      </c>
      <c r="K22" s="2"/>
    </row>
    <row r="23" spans="1:11" x14ac:dyDescent="0.25">
      <c r="A23" s="8">
        <v>12</v>
      </c>
      <c r="B23" s="9">
        <v>44778</v>
      </c>
      <c r="C23" s="5">
        <f t="shared" si="6"/>
        <v>290833.33333333337</v>
      </c>
      <c r="D23" s="10">
        <f t="shared" si="2"/>
        <v>1812.4439361296011</v>
      </c>
      <c r="E23" s="3">
        <f t="shared" si="3"/>
        <v>292645.777269463</v>
      </c>
      <c r="F23" s="3">
        <f t="shared" si="0"/>
        <v>833.33333333333337</v>
      </c>
      <c r="G23" s="5">
        <f t="shared" si="4"/>
        <v>2645.7772694629343</v>
      </c>
      <c r="H23" s="5">
        <v>0</v>
      </c>
      <c r="I23" s="5">
        <f t="shared" si="5"/>
        <v>2645.7772694629343</v>
      </c>
      <c r="J23" s="5">
        <f t="shared" si="1"/>
        <v>290000.00000000006</v>
      </c>
      <c r="K23" s="2"/>
    </row>
    <row r="24" spans="1:11" x14ac:dyDescent="0.25">
      <c r="A24" s="8">
        <v>13</v>
      </c>
      <c r="B24" s="9">
        <v>44809</v>
      </c>
      <c r="C24" s="5">
        <f t="shared" si="6"/>
        <v>290000.00000000006</v>
      </c>
      <c r="D24" s="10">
        <f t="shared" si="2"/>
        <v>1807.2506870289433</v>
      </c>
      <c r="E24" s="3">
        <f t="shared" si="3"/>
        <v>291807.25068702898</v>
      </c>
      <c r="F24" s="3">
        <f t="shared" si="0"/>
        <v>833.33333333333337</v>
      </c>
      <c r="G24" s="5">
        <f t="shared" si="4"/>
        <v>2640.5840203622765</v>
      </c>
      <c r="H24" s="5">
        <v>0</v>
      </c>
      <c r="I24" s="5">
        <f t="shared" si="5"/>
        <v>2640.5840203622765</v>
      </c>
      <c r="J24" s="5">
        <f t="shared" si="1"/>
        <v>289166.66666666669</v>
      </c>
      <c r="K24" s="2"/>
    </row>
    <row r="25" spans="1:11" x14ac:dyDescent="0.25">
      <c r="A25" s="8">
        <v>14</v>
      </c>
      <c r="B25" s="9">
        <v>44839</v>
      </c>
      <c r="C25" s="5">
        <f t="shared" si="6"/>
        <v>289166.66666666669</v>
      </c>
      <c r="D25" s="10">
        <f t="shared" si="2"/>
        <v>1802.057437928285</v>
      </c>
      <c r="E25" s="3">
        <f t="shared" si="3"/>
        <v>290968.72410459496</v>
      </c>
      <c r="F25" s="3">
        <f t="shared" si="0"/>
        <v>833.33333333333337</v>
      </c>
      <c r="G25" s="5">
        <f t="shared" si="4"/>
        <v>2635.3907712616183</v>
      </c>
      <c r="H25" s="5">
        <v>0</v>
      </c>
      <c r="I25" s="5">
        <f t="shared" si="5"/>
        <v>2635.3907712616183</v>
      </c>
      <c r="J25" s="5">
        <f t="shared" si="1"/>
        <v>288333.33333333337</v>
      </c>
      <c r="K25" s="2"/>
    </row>
    <row r="26" spans="1:11" x14ac:dyDescent="0.25">
      <c r="A26" s="8">
        <v>15</v>
      </c>
      <c r="B26" s="9">
        <v>44870</v>
      </c>
      <c r="C26" s="5">
        <f t="shared" si="6"/>
        <v>288333.33333333337</v>
      </c>
      <c r="D26" s="10">
        <f t="shared" si="2"/>
        <v>1796.8641888276275</v>
      </c>
      <c r="E26" s="3">
        <f t="shared" si="3"/>
        <v>290130.197522161</v>
      </c>
      <c r="F26" s="3">
        <f t="shared" si="0"/>
        <v>833.33333333333337</v>
      </c>
      <c r="G26" s="5">
        <f t="shared" si="4"/>
        <v>2630.1975221609609</v>
      </c>
      <c r="H26" s="5">
        <v>0</v>
      </c>
      <c r="I26" s="5">
        <f t="shared" si="5"/>
        <v>2630.1975221609609</v>
      </c>
      <c r="J26" s="5">
        <f t="shared" si="1"/>
        <v>287500.00000000006</v>
      </c>
      <c r="K26" s="2"/>
    </row>
    <row r="27" spans="1:11" x14ac:dyDescent="0.25">
      <c r="A27" s="8">
        <v>16</v>
      </c>
      <c r="B27" s="9">
        <v>44900</v>
      </c>
      <c r="C27" s="5">
        <f t="shared" si="6"/>
        <v>287500.00000000006</v>
      </c>
      <c r="D27" s="10">
        <f t="shared" si="2"/>
        <v>1791.6709397269697</v>
      </c>
      <c r="E27" s="3">
        <f t="shared" si="3"/>
        <v>289291.67093972705</v>
      </c>
      <c r="F27" s="3">
        <f t="shared" si="0"/>
        <v>833.33333333333337</v>
      </c>
      <c r="G27" s="5">
        <f t="shared" si="4"/>
        <v>2625.0042730603031</v>
      </c>
      <c r="H27" s="5">
        <v>0</v>
      </c>
      <c r="I27" s="5">
        <f t="shared" si="5"/>
        <v>2625.0042730603031</v>
      </c>
      <c r="J27" s="5">
        <f t="shared" si="1"/>
        <v>286666.66666666674</v>
      </c>
      <c r="K27" s="2"/>
    </row>
    <row r="28" spans="1:11" x14ac:dyDescent="0.25">
      <c r="A28" s="8">
        <v>17</v>
      </c>
      <c r="B28" s="9">
        <v>44931</v>
      </c>
      <c r="C28" s="5">
        <f t="shared" si="6"/>
        <v>286666.66666666674</v>
      </c>
      <c r="D28" s="10">
        <f t="shared" si="2"/>
        <v>1786.4776906263119</v>
      </c>
      <c r="E28" s="3">
        <f t="shared" si="3"/>
        <v>288453.14435729303</v>
      </c>
      <c r="F28" s="3">
        <f t="shared" si="0"/>
        <v>833.33333333333337</v>
      </c>
      <c r="G28" s="5">
        <f t="shared" si="4"/>
        <v>2619.8110239596454</v>
      </c>
      <c r="H28" s="5">
        <v>0</v>
      </c>
      <c r="I28" s="5">
        <f t="shared" si="5"/>
        <v>2619.8110239596454</v>
      </c>
      <c r="J28" s="5">
        <f t="shared" si="1"/>
        <v>285833.33333333337</v>
      </c>
      <c r="K28" s="2"/>
    </row>
    <row r="29" spans="1:11" x14ac:dyDescent="0.25">
      <c r="A29" s="8">
        <v>18</v>
      </c>
      <c r="B29" s="9">
        <v>44962</v>
      </c>
      <c r="C29" s="5">
        <f t="shared" si="6"/>
        <v>285833.33333333337</v>
      </c>
      <c r="D29" s="10">
        <f t="shared" si="2"/>
        <v>1781.2844415256536</v>
      </c>
      <c r="E29" s="3">
        <f t="shared" si="3"/>
        <v>287614.61777485901</v>
      </c>
      <c r="F29" s="3">
        <f t="shared" si="0"/>
        <v>833.33333333333337</v>
      </c>
      <c r="G29" s="5">
        <f t="shared" si="4"/>
        <v>2614.6177748589871</v>
      </c>
      <c r="H29" s="5">
        <v>0</v>
      </c>
      <c r="I29" s="5">
        <f t="shared" si="5"/>
        <v>2614.6177748589871</v>
      </c>
      <c r="J29" s="5">
        <f t="shared" si="1"/>
        <v>285000</v>
      </c>
      <c r="K29" s="2"/>
    </row>
    <row r="30" spans="1:11" x14ac:dyDescent="0.25">
      <c r="A30" s="8">
        <v>19</v>
      </c>
      <c r="B30" s="9">
        <v>44990</v>
      </c>
      <c r="C30" s="5">
        <f t="shared" si="6"/>
        <v>285000</v>
      </c>
      <c r="D30" s="10">
        <f t="shared" si="2"/>
        <v>1776.0911924249956</v>
      </c>
      <c r="E30" s="3">
        <f t="shared" si="3"/>
        <v>286776.091192425</v>
      </c>
      <c r="F30" s="3">
        <f t="shared" si="0"/>
        <v>833.33333333333337</v>
      </c>
      <c r="G30" s="5">
        <f t="shared" si="4"/>
        <v>2609.4245257583289</v>
      </c>
      <c r="H30" s="5">
        <v>0</v>
      </c>
      <c r="I30" s="5">
        <f t="shared" si="5"/>
        <v>2609.4245257583289</v>
      </c>
      <c r="J30" s="5">
        <f t="shared" si="1"/>
        <v>284166.66666666669</v>
      </c>
      <c r="K30" s="2"/>
    </row>
    <row r="31" spans="1:11" x14ac:dyDescent="0.25">
      <c r="A31" s="8">
        <v>20</v>
      </c>
      <c r="B31" s="9">
        <v>45021</v>
      </c>
      <c r="C31" s="5">
        <f t="shared" si="6"/>
        <v>284166.66666666669</v>
      </c>
      <c r="D31" s="10">
        <f t="shared" si="2"/>
        <v>1770.8979433243378</v>
      </c>
      <c r="E31" s="3">
        <f t="shared" si="3"/>
        <v>285937.56460999104</v>
      </c>
      <c r="F31" s="3">
        <f t="shared" si="0"/>
        <v>833.33333333333337</v>
      </c>
      <c r="G31" s="5">
        <f t="shared" si="4"/>
        <v>2604.2312766576711</v>
      </c>
      <c r="H31" s="5">
        <v>0</v>
      </c>
      <c r="I31" s="5">
        <f t="shared" si="5"/>
        <v>2604.2312766576711</v>
      </c>
      <c r="J31" s="5">
        <f t="shared" si="1"/>
        <v>283333.33333333337</v>
      </c>
      <c r="K31" s="2"/>
    </row>
    <row r="32" spans="1:11" x14ac:dyDescent="0.25">
      <c r="A32" s="8">
        <v>21</v>
      </c>
      <c r="B32" s="9">
        <v>45051</v>
      </c>
      <c r="C32" s="5">
        <f t="shared" si="6"/>
        <v>283333.33333333337</v>
      </c>
      <c r="D32" s="10">
        <f t="shared" si="2"/>
        <v>1765.70469422368</v>
      </c>
      <c r="E32" s="3">
        <f t="shared" si="3"/>
        <v>285099.03802755708</v>
      </c>
      <c r="F32" s="3">
        <f t="shared" si="0"/>
        <v>833.33333333333337</v>
      </c>
      <c r="G32" s="5">
        <f t="shared" si="4"/>
        <v>2599.0380275570133</v>
      </c>
      <c r="H32" s="5">
        <v>0</v>
      </c>
      <c r="I32" s="5">
        <f t="shared" si="5"/>
        <v>2599.0380275570133</v>
      </c>
      <c r="J32" s="5">
        <f t="shared" si="1"/>
        <v>282500.00000000006</v>
      </c>
      <c r="K32" s="2"/>
    </row>
    <row r="33" spans="1:11" x14ac:dyDescent="0.25">
      <c r="A33" s="8">
        <v>22</v>
      </c>
      <c r="B33" s="9">
        <v>45082</v>
      </c>
      <c r="C33" s="5">
        <f t="shared" si="6"/>
        <v>282500.00000000006</v>
      </c>
      <c r="D33" s="10">
        <f t="shared" si="2"/>
        <v>1760.5114451230222</v>
      </c>
      <c r="E33" s="3">
        <f t="shared" si="3"/>
        <v>284260.51144512306</v>
      </c>
      <c r="F33" s="3">
        <f t="shared" si="0"/>
        <v>833.33333333333337</v>
      </c>
      <c r="G33" s="5">
        <f t="shared" si="4"/>
        <v>2593.8447784563555</v>
      </c>
      <c r="H33" s="5">
        <v>0</v>
      </c>
      <c r="I33" s="5">
        <f t="shared" si="5"/>
        <v>2593.8447784563555</v>
      </c>
      <c r="J33" s="5">
        <f t="shared" si="1"/>
        <v>281666.66666666669</v>
      </c>
      <c r="K33" s="2"/>
    </row>
    <row r="34" spans="1:11" x14ac:dyDescent="0.25">
      <c r="A34" s="8">
        <v>23</v>
      </c>
      <c r="B34" s="9">
        <v>45112</v>
      </c>
      <c r="C34" s="5">
        <f t="shared" si="6"/>
        <v>281666.66666666669</v>
      </c>
      <c r="D34" s="10">
        <f t="shared" si="2"/>
        <v>1755.3181960223642</v>
      </c>
      <c r="E34" s="3">
        <f t="shared" si="3"/>
        <v>283421.98486268905</v>
      </c>
      <c r="F34" s="3">
        <f t="shared" si="0"/>
        <v>833.33333333333337</v>
      </c>
      <c r="G34" s="5">
        <f t="shared" si="4"/>
        <v>2588.6515293556977</v>
      </c>
      <c r="H34" s="5">
        <v>0</v>
      </c>
      <c r="I34" s="5">
        <f t="shared" si="5"/>
        <v>2588.6515293556977</v>
      </c>
      <c r="J34" s="5">
        <f t="shared" si="1"/>
        <v>280833.33333333337</v>
      </c>
      <c r="K34" s="2"/>
    </row>
    <row r="35" spans="1:11" x14ac:dyDescent="0.25">
      <c r="A35" s="8">
        <v>24</v>
      </c>
      <c r="B35" s="9">
        <v>45143</v>
      </c>
      <c r="C35" s="5">
        <f t="shared" si="6"/>
        <v>280833.33333333337</v>
      </c>
      <c r="D35" s="10">
        <f t="shared" si="2"/>
        <v>1750.1249469217064</v>
      </c>
      <c r="E35" s="3">
        <f t="shared" si="3"/>
        <v>282583.45828025509</v>
      </c>
      <c r="F35" s="3">
        <f t="shared" si="0"/>
        <v>833.33333333333337</v>
      </c>
      <c r="G35" s="5">
        <f t="shared" si="4"/>
        <v>2583.4582802550399</v>
      </c>
      <c r="H35" s="5">
        <v>0</v>
      </c>
      <c r="I35" s="5">
        <f t="shared" si="5"/>
        <v>2583.4582802550399</v>
      </c>
      <c r="J35" s="5">
        <f t="shared" si="1"/>
        <v>280000.00000000006</v>
      </c>
      <c r="K35" s="2"/>
    </row>
    <row r="36" spans="1:11" x14ac:dyDescent="0.25">
      <c r="A36" s="8">
        <v>25</v>
      </c>
      <c r="B36" s="9">
        <v>45174</v>
      </c>
      <c r="C36" s="5">
        <f t="shared" si="6"/>
        <v>280000.00000000006</v>
      </c>
      <c r="D36" s="10">
        <f t="shared" si="2"/>
        <v>1744.9316978210486</v>
      </c>
      <c r="E36" s="3">
        <f t="shared" si="3"/>
        <v>281744.93169782113</v>
      </c>
      <c r="F36" s="3">
        <f t="shared" si="0"/>
        <v>833.33333333333337</v>
      </c>
      <c r="G36" s="5">
        <f t="shared" si="4"/>
        <v>2578.2650311543821</v>
      </c>
      <c r="H36" s="5">
        <v>0</v>
      </c>
      <c r="I36" s="5">
        <f t="shared" si="5"/>
        <v>2578.2650311543821</v>
      </c>
      <c r="J36" s="5">
        <f t="shared" si="1"/>
        <v>279166.66666666674</v>
      </c>
      <c r="K36" s="2"/>
    </row>
    <row r="37" spans="1:11" x14ac:dyDescent="0.25">
      <c r="A37" s="8">
        <v>26</v>
      </c>
      <c r="B37" s="9">
        <v>45204</v>
      </c>
      <c r="C37" s="5">
        <f t="shared" si="6"/>
        <v>279166.66666666674</v>
      </c>
      <c r="D37" s="10">
        <f t="shared" si="2"/>
        <v>1739.7384487203908</v>
      </c>
      <c r="E37" s="3">
        <f t="shared" si="3"/>
        <v>280906.40511538711</v>
      </c>
      <c r="F37" s="3">
        <f t="shared" si="0"/>
        <v>833.33333333333337</v>
      </c>
      <c r="G37" s="5">
        <f t="shared" si="4"/>
        <v>2573.0717820537243</v>
      </c>
      <c r="H37" s="5">
        <v>0</v>
      </c>
      <c r="I37" s="5">
        <f t="shared" si="5"/>
        <v>2573.0717820537243</v>
      </c>
      <c r="J37" s="5">
        <f t="shared" si="1"/>
        <v>278333.33333333337</v>
      </c>
      <c r="K37" s="2"/>
    </row>
    <row r="38" spans="1:11" x14ac:dyDescent="0.25">
      <c r="A38" s="8">
        <v>27</v>
      </c>
      <c r="B38" s="9">
        <v>45235</v>
      </c>
      <c r="C38" s="5">
        <f t="shared" si="6"/>
        <v>278333.33333333337</v>
      </c>
      <c r="D38" s="10">
        <f t="shared" si="2"/>
        <v>1734.5451996197328</v>
      </c>
      <c r="E38" s="3">
        <f t="shared" si="3"/>
        <v>280067.87853295309</v>
      </c>
      <c r="F38" s="3">
        <f t="shared" si="0"/>
        <v>833.33333333333337</v>
      </c>
      <c r="G38" s="5">
        <f t="shared" si="4"/>
        <v>2567.878532953066</v>
      </c>
      <c r="H38" s="5">
        <v>0</v>
      </c>
      <c r="I38" s="5">
        <f t="shared" si="5"/>
        <v>2567.878532953066</v>
      </c>
      <c r="J38" s="5">
        <f t="shared" si="1"/>
        <v>277500</v>
      </c>
      <c r="K38" s="2"/>
    </row>
    <row r="39" spans="1:11" x14ac:dyDescent="0.25">
      <c r="A39" s="8">
        <v>28</v>
      </c>
      <c r="B39" s="9">
        <v>45265</v>
      </c>
      <c r="C39" s="5">
        <f t="shared" si="6"/>
        <v>277500</v>
      </c>
      <c r="D39" s="10">
        <f t="shared" si="2"/>
        <v>1729.3519505190745</v>
      </c>
      <c r="E39" s="3">
        <f t="shared" si="3"/>
        <v>279229.35195051908</v>
      </c>
      <c r="F39" s="3">
        <f t="shared" si="0"/>
        <v>833.33333333333337</v>
      </c>
      <c r="G39" s="5">
        <f t="shared" si="4"/>
        <v>2562.6852838524078</v>
      </c>
      <c r="H39" s="5">
        <v>0</v>
      </c>
      <c r="I39" s="5">
        <f t="shared" si="5"/>
        <v>2562.6852838524078</v>
      </c>
      <c r="J39" s="5">
        <f t="shared" si="1"/>
        <v>276666.66666666669</v>
      </c>
      <c r="K39" s="2"/>
    </row>
    <row r="40" spans="1:11" x14ac:dyDescent="0.25">
      <c r="A40" s="8">
        <v>29</v>
      </c>
      <c r="B40" s="9">
        <v>45296</v>
      </c>
      <c r="C40" s="5">
        <f t="shared" si="6"/>
        <v>276666.66666666669</v>
      </c>
      <c r="D40" s="10">
        <f t="shared" si="2"/>
        <v>1724.158701418417</v>
      </c>
      <c r="E40" s="3">
        <f t="shared" si="3"/>
        <v>278390.82536808512</v>
      </c>
      <c r="F40" s="3">
        <f t="shared" si="0"/>
        <v>833.33333333333337</v>
      </c>
      <c r="G40" s="5">
        <f t="shared" si="4"/>
        <v>2557.4920347517505</v>
      </c>
      <c r="H40" s="5">
        <v>0</v>
      </c>
      <c r="I40" s="5">
        <f t="shared" si="5"/>
        <v>2557.4920347517505</v>
      </c>
      <c r="J40" s="5">
        <f t="shared" si="1"/>
        <v>275833.33333333337</v>
      </c>
      <c r="K40" s="2"/>
    </row>
    <row r="41" spans="1:11" x14ac:dyDescent="0.25">
      <c r="A41" s="8">
        <v>30</v>
      </c>
      <c r="B41" s="9">
        <v>45327</v>
      </c>
      <c r="C41" s="5">
        <f t="shared" si="6"/>
        <v>275833.33333333337</v>
      </c>
      <c r="D41" s="10">
        <f t="shared" si="2"/>
        <v>1718.9654523177592</v>
      </c>
      <c r="E41" s="3">
        <f t="shared" si="3"/>
        <v>277552.2987856511</v>
      </c>
      <c r="F41" s="3">
        <f t="shared" si="0"/>
        <v>833.33333333333337</v>
      </c>
      <c r="G41" s="5">
        <f t="shared" si="4"/>
        <v>2552.2987856510927</v>
      </c>
      <c r="H41" s="5">
        <v>0</v>
      </c>
      <c r="I41" s="5">
        <f t="shared" si="5"/>
        <v>2552.2987856510927</v>
      </c>
      <c r="J41" s="5">
        <f t="shared" si="1"/>
        <v>275000</v>
      </c>
      <c r="K41" s="2"/>
    </row>
    <row r="42" spans="1:11" x14ac:dyDescent="0.25">
      <c r="A42" s="8">
        <v>31</v>
      </c>
      <c r="B42" s="9">
        <v>45356</v>
      </c>
      <c r="C42" s="5">
        <f t="shared" si="6"/>
        <v>275000</v>
      </c>
      <c r="D42" s="10">
        <f t="shared" si="2"/>
        <v>1713.7722032171009</v>
      </c>
      <c r="E42" s="3">
        <f t="shared" si="3"/>
        <v>276713.77220321709</v>
      </c>
      <c r="F42" s="3">
        <f t="shared" si="0"/>
        <v>833.33333333333337</v>
      </c>
      <c r="G42" s="5">
        <f t="shared" si="4"/>
        <v>2547.1055365504344</v>
      </c>
      <c r="H42" s="5">
        <v>0</v>
      </c>
      <c r="I42" s="5">
        <f t="shared" si="5"/>
        <v>2547.1055365504344</v>
      </c>
      <c r="J42" s="5">
        <f t="shared" si="1"/>
        <v>274166.66666666663</v>
      </c>
      <c r="K42" s="2"/>
    </row>
    <row r="43" spans="1:11" x14ac:dyDescent="0.25">
      <c r="A43" s="8">
        <v>32</v>
      </c>
      <c r="B43" s="9">
        <v>45387</v>
      </c>
      <c r="C43" s="5">
        <f t="shared" si="6"/>
        <v>274166.66666666663</v>
      </c>
      <c r="D43" s="10">
        <f t="shared" si="2"/>
        <v>1708.5789541164429</v>
      </c>
      <c r="E43" s="3">
        <f t="shared" si="3"/>
        <v>275875.24562078307</v>
      </c>
      <c r="F43" s="3">
        <f t="shared" si="0"/>
        <v>833.33333333333337</v>
      </c>
      <c r="G43" s="5">
        <f t="shared" si="4"/>
        <v>2541.9122874497762</v>
      </c>
      <c r="H43" s="5">
        <v>0</v>
      </c>
      <c r="I43" s="5">
        <f t="shared" si="5"/>
        <v>2541.9122874497762</v>
      </c>
      <c r="J43" s="5">
        <f t="shared" si="1"/>
        <v>273333.33333333331</v>
      </c>
      <c r="K43" s="2"/>
    </row>
    <row r="44" spans="1:11" x14ac:dyDescent="0.25">
      <c r="A44" s="8">
        <v>33</v>
      </c>
      <c r="B44" s="9">
        <v>45417</v>
      </c>
      <c r="C44" s="5">
        <f t="shared" si="6"/>
        <v>273333.33333333331</v>
      </c>
      <c r="D44" s="10">
        <f t="shared" si="2"/>
        <v>1703.3857050157851</v>
      </c>
      <c r="E44" s="3">
        <f t="shared" si="3"/>
        <v>275036.71903834911</v>
      </c>
      <c r="F44" s="3">
        <f t="shared" si="0"/>
        <v>833.33333333333337</v>
      </c>
      <c r="G44" s="5">
        <f t="shared" si="4"/>
        <v>2536.7190383491184</v>
      </c>
      <c r="H44" s="5">
        <v>0</v>
      </c>
      <c r="I44" s="5">
        <f t="shared" si="5"/>
        <v>2536.7190383491184</v>
      </c>
      <c r="J44" s="5">
        <f t="shared" si="1"/>
        <v>272500</v>
      </c>
      <c r="K44" s="2"/>
    </row>
    <row r="45" spans="1:11" x14ac:dyDescent="0.25">
      <c r="A45" s="8">
        <v>34</v>
      </c>
      <c r="B45" s="9">
        <v>45448</v>
      </c>
      <c r="C45" s="5">
        <f t="shared" si="6"/>
        <v>272500</v>
      </c>
      <c r="D45" s="10">
        <f t="shared" si="2"/>
        <v>1698.1924559151273</v>
      </c>
      <c r="E45" s="3">
        <f t="shared" si="3"/>
        <v>274198.19245591515</v>
      </c>
      <c r="F45" s="3">
        <f t="shared" si="0"/>
        <v>833.33333333333337</v>
      </c>
      <c r="G45" s="5">
        <f t="shared" si="4"/>
        <v>2531.5257892484606</v>
      </c>
      <c r="H45" s="5">
        <v>0</v>
      </c>
      <c r="I45" s="5">
        <f t="shared" si="5"/>
        <v>2531.5257892484606</v>
      </c>
      <c r="J45" s="5">
        <f t="shared" si="1"/>
        <v>271666.66666666669</v>
      </c>
      <c r="K45" s="2"/>
    </row>
    <row r="46" spans="1:11" x14ac:dyDescent="0.25">
      <c r="A46" s="8">
        <v>35</v>
      </c>
      <c r="B46" s="9">
        <v>45478</v>
      </c>
      <c r="C46" s="5">
        <f t="shared" si="6"/>
        <v>271666.66666666669</v>
      </c>
      <c r="D46" s="10">
        <f t="shared" si="2"/>
        <v>1692.9992068144695</v>
      </c>
      <c r="E46" s="3">
        <f t="shared" si="3"/>
        <v>273359.66587348114</v>
      </c>
      <c r="F46" s="3">
        <f t="shared" si="0"/>
        <v>833.33333333333337</v>
      </c>
      <c r="G46" s="5">
        <f t="shared" si="4"/>
        <v>2526.3325401478028</v>
      </c>
      <c r="H46" s="5">
        <v>0</v>
      </c>
      <c r="I46" s="5">
        <f t="shared" si="5"/>
        <v>2526.3325401478028</v>
      </c>
      <c r="J46" s="5">
        <f t="shared" si="1"/>
        <v>270833.33333333331</v>
      </c>
      <c r="K46" s="2"/>
    </row>
    <row r="47" spans="1:11" x14ac:dyDescent="0.25">
      <c r="A47" s="8">
        <v>36</v>
      </c>
      <c r="B47" s="9">
        <v>45509</v>
      </c>
      <c r="C47" s="5">
        <f t="shared" si="6"/>
        <v>270833.33333333331</v>
      </c>
      <c r="D47" s="10">
        <f t="shared" si="2"/>
        <v>1687.8059577138115</v>
      </c>
      <c r="E47" s="3">
        <f t="shared" si="3"/>
        <v>272521.13929104712</v>
      </c>
      <c r="F47" s="3">
        <f t="shared" si="0"/>
        <v>833.33333333333337</v>
      </c>
      <c r="G47" s="5">
        <f t="shared" si="4"/>
        <v>2521.139291047145</v>
      </c>
      <c r="H47" s="5">
        <v>0</v>
      </c>
      <c r="I47" s="5">
        <f t="shared" si="5"/>
        <v>2521.139291047145</v>
      </c>
      <c r="J47" s="5">
        <f t="shared" si="1"/>
        <v>270000</v>
      </c>
      <c r="K47" s="2"/>
    </row>
    <row r="48" spans="1:11" x14ac:dyDescent="0.25">
      <c r="A48" s="8">
        <v>37</v>
      </c>
      <c r="B48" s="9">
        <v>45540</v>
      </c>
      <c r="C48" s="5">
        <f t="shared" si="6"/>
        <v>270000</v>
      </c>
      <c r="D48" s="10">
        <f t="shared" si="2"/>
        <v>1682.6127086131537</v>
      </c>
      <c r="E48" s="3">
        <f t="shared" si="3"/>
        <v>271682.61270861316</v>
      </c>
      <c r="F48" s="3">
        <f t="shared" si="0"/>
        <v>833.33333333333337</v>
      </c>
      <c r="G48" s="5">
        <f t="shared" si="4"/>
        <v>2515.9460419464872</v>
      </c>
      <c r="H48" s="5">
        <v>0</v>
      </c>
      <c r="I48" s="5">
        <f t="shared" si="5"/>
        <v>2515.9460419464872</v>
      </c>
      <c r="J48" s="5">
        <f t="shared" si="1"/>
        <v>269166.66666666669</v>
      </c>
      <c r="K48" s="2"/>
    </row>
    <row r="49" spans="1:11" x14ac:dyDescent="0.25">
      <c r="A49" s="8">
        <v>38</v>
      </c>
      <c r="B49" s="9">
        <v>45570</v>
      </c>
      <c r="C49" s="5">
        <f t="shared" si="6"/>
        <v>269166.66666666669</v>
      </c>
      <c r="D49" s="10">
        <f t="shared" si="2"/>
        <v>1677.4194595124959</v>
      </c>
      <c r="E49" s="3">
        <f t="shared" si="3"/>
        <v>270844.0861261792</v>
      </c>
      <c r="F49" s="3">
        <f t="shared" si="0"/>
        <v>833.33333333333337</v>
      </c>
      <c r="G49" s="5">
        <f t="shared" si="4"/>
        <v>2510.7527928458294</v>
      </c>
      <c r="H49" s="5">
        <v>0</v>
      </c>
      <c r="I49" s="5">
        <f t="shared" si="5"/>
        <v>2510.7527928458294</v>
      </c>
      <c r="J49" s="5">
        <f t="shared" si="1"/>
        <v>268333.33333333337</v>
      </c>
      <c r="K49" s="2"/>
    </row>
    <row r="50" spans="1:11" x14ac:dyDescent="0.25">
      <c r="A50" s="8">
        <v>39</v>
      </c>
      <c r="B50" s="9">
        <v>45601</v>
      </c>
      <c r="C50" s="5">
        <f t="shared" si="6"/>
        <v>268333.33333333337</v>
      </c>
      <c r="D50" s="10">
        <f t="shared" si="2"/>
        <v>1672.2262104118381</v>
      </c>
      <c r="E50" s="3">
        <f t="shared" si="3"/>
        <v>270005.55954374518</v>
      </c>
      <c r="F50" s="3">
        <f t="shared" si="0"/>
        <v>833.33333333333337</v>
      </c>
      <c r="G50" s="5">
        <f t="shared" si="4"/>
        <v>2505.5595437451716</v>
      </c>
      <c r="H50" s="5">
        <v>0</v>
      </c>
      <c r="I50" s="5">
        <f t="shared" si="5"/>
        <v>2505.5595437451716</v>
      </c>
      <c r="J50" s="5">
        <f t="shared" si="1"/>
        <v>267500</v>
      </c>
      <c r="K50" s="2"/>
    </row>
    <row r="51" spans="1:11" x14ac:dyDescent="0.25">
      <c r="A51" s="8">
        <v>40</v>
      </c>
      <c r="B51" s="9">
        <v>45631</v>
      </c>
      <c r="C51" s="5">
        <f t="shared" si="6"/>
        <v>267500</v>
      </c>
      <c r="D51" s="10">
        <f t="shared" si="2"/>
        <v>1667.0329613111801</v>
      </c>
      <c r="E51" s="3">
        <f t="shared" si="3"/>
        <v>269167.03296131117</v>
      </c>
      <c r="F51" s="3">
        <f t="shared" si="0"/>
        <v>833.33333333333337</v>
      </c>
      <c r="G51" s="5">
        <f t="shared" si="4"/>
        <v>2500.3662946445133</v>
      </c>
      <c r="H51" s="5">
        <v>0</v>
      </c>
      <c r="I51" s="5">
        <f t="shared" si="5"/>
        <v>2500.3662946445133</v>
      </c>
      <c r="J51" s="5">
        <f t="shared" si="1"/>
        <v>266666.66666666663</v>
      </c>
      <c r="K51" s="2"/>
    </row>
    <row r="52" spans="1:11" x14ac:dyDescent="0.25">
      <c r="A52" s="8">
        <v>41</v>
      </c>
      <c r="B52" s="9">
        <v>45662</v>
      </c>
      <c r="C52" s="5">
        <f t="shared" si="6"/>
        <v>266666.66666666663</v>
      </c>
      <c r="D52" s="10">
        <f t="shared" si="2"/>
        <v>1661.8397122105218</v>
      </c>
      <c r="E52" s="3">
        <f t="shared" si="3"/>
        <v>268328.50637887715</v>
      </c>
      <c r="F52" s="3">
        <f t="shared" si="0"/>
        <v>833.33333333333337</v>
      </c>
      <c r="G52" s="5">
        <f t="shared" si="4"/>
        <v>2495.1730455438551</v>
      </c>
      <c r="H52" s="5">
        <v>0</v>
      </c>
      <c r="I52" s="5">
        <f t="shared" si="5"/>
        <v>2495.1730455438551</v>
      </c>
      <c r="J52" s="5">
        <f t="shared" si="1"/>
        <v>265833.33333333331</v>
      </c>
      <c r="K52" s="2"/>
    </row>
    <row r="53" spans="1:11" x14ac:dyDescent="0.25">
      <c r="A53" s="8">
        <v>42</v>
      </c>
      <c r="B53" s="9">
        <v>45693</v>
      </c>
      <c r="C53" s="5">
        <f t="shared" si="6"/>
        <v>265833.33333333331</v>
      </c>
      <c r="D53" s="10">
        <f t="shared" si="2"/>
        <v>1656.6464631098643</v>
      </c>
      <c r="E53" s="3">
        <f t="shared" si="3"/>
        <v>267489.97979644319</v>
      </c>
      <c r="F53" s="3">
        <f t="shared" si="0"/>
        <v>833.33333333333337</v>
      </c>
      <c r="G53" s="5">
        <f t="shared" si="4"/>
        <v>2489.9797964431978</v>
      </c>
      <c r="H53" s="5">
        <v>0</v>
      </c>
      <c r="I53" s="5">
        <f t="shared" si="5"/>
        <v>2489.9797964431978</v>
      </c>
      <c r="J53" s="5">
        <f t="shared" si="1"/>
        <v>265000</v>
      </c>
      <c r="K53" s="2"/>
    </row>
    <row r="54" spans="1:11" x14ac:dyDescent="0.25">
      <c r="A54" s="8">
        <v>43</v>
      </c>
      <c r="B54" s="9">
        <v>45721</v>
      </c>
      <c r="C54" s="5">
        <f t="shared" si="6"/>
        <v>265000</v>
      </c>
      <c r="D54" s="10">
        <f t="shared" si="2"/>
        <v>1651.4532140092065</v>
      </c>
      <c r="E54" s="3">
        <f t="shared" si="3"/>
        <v>266651.45321400923</v>
      </c>
      <c r="F54" s="3">
        <f t="shared" si="0"/>
        <v>833.33333333333337</v>
      </c>
      <c r="G54" s="5">
        <f t="shared" si="4"/>
        <v>2484.78654734254</v>
      </c>
      <c r="H54" s="5">
        <v>0</v>
      </c>
      <c r="I54" s="5">
        <f t="shared" si="5"/>
        <v>2484.78654734254</v>
      </c>
      <c r="J54" s="5">
        <f t="shared" si="1"/>
        <v>264166.66666666669</v>
      </c>
      <c r="K54" s="2"/>
    </row>
    <row r="55" spans="1:11" x14ac:dyDescent="0.25">
      <c r="A55" s="8">
        <v>44</v>
      </c>
      <c r="B55" s="9">
        <v>45752</v>
      </c>
      <c r="C55" s="5">
        <f t="shared" si="6"/>
        <v>264166.66666666669</v>
      </c>
      <c r="D55" s="10">
        <f t="shared" si="2"/>
        <v>1646.2599649085487</v>
      </c>
      <c r="E55" s="3">
        <f t="shared" si="3"/>
        <v>265812.92663157522</v>
      </c>
      <c r="F55" s="3">
        <f t="shared" si="0"/>
        <v>833.33333333333337</v>
      </c>
      <c r="G55" s="5">
        <f t="shared" si="4"/>
        <v>2479.5932982418822</v>
      </c>
      <c r="H55" s="5">
        <v>0</v>
      </c>
      <c r="I55" s="5">
        <f t="shared" si="5"/>
        <v>2479.5932982418822</v>
      </c>
      <c r="J55" s="5">
        <f t="shared" si="1"/>
        <v>263333.33333333331</v>
      </c>
      <c r="K55" s="2"/>
    </row>
    <row r="56" spans="1:11" x14ac:dyDescent="0.25">
      <c r="A56" s="8">
        <v>45</v>
      </c>
      <c r="B56" s="9">
        <v>45782</v>
      </c>
      <c r="C56" s="5">
        <f t="shared" si="6"/>
        <v>263333.33333333331</v>
      </c>
      <c r="D56" s="10">
        <f t="shared" si="2"/>
        <v>1641.0667158078904</v>
      </c>
      <c r="E56" s="3">
        <f t="shared" si="3"/>
        <v>264974.4000491412</v>
      </c>
      <c r="F56" s="3">
        <f t="shared" si="0"/>
        <v>833.33333333333337</v>
      </c>
      <c r="G56" s="5">
        <f t="shared" si="4"/>
        <v>2474.4000491412239</v>
      </c>
      <c r="H56" s="5">
        <v>0</v>
      </c>
      <c r="I56" s="5">
        <f t="shared" si="5"/>
        <v>2474.4000491412239</v>
      </c>
      <c r="J56" s="5">
        <f t="shared" si="1"/>
        <v>262500</v>
      </c>
      <c r="K56" s="2"/>
    </row>
    <row r="57" spans="1:11" x14ac:dyDescent="0.25">
      <c r="A57" s="8">
        <v>46</v>
      </c>
      <c r="B57" s="9">
        <v>45813</v>
      </c>
      <c r="C57" s="5">
        <f t="shared" si="6"/>
        <v>262500</v>
      </c>
      <c r="D57" s="10">
        <f t="shared" si="2"/>
        <v>1635.8734667072329</v>
      </c>
      <c r="E57" s="3">
        <f t="shared" si="3"/>
        <v>264135.87346670724</v>
      </c>
      <c r="F57" s="3">
        <f t="shared" si="0"/>
        <v>833.33333333333337</v>
      </c>
      <c r="G57" s="5">
        <f t="shared" si="4"/>
        <v>2469.2068000405661</v>
      </c>
      <c r="H57" s="5">
        <v>0</v>
      </c>
      <c r="I57" s="5">
        <f t="shared" si="5"/>
        <v>2469.2068000405661</v>
      </c>
      <c r="J57" s="5">
        <f t="shared" si="1"/>
        <v>261666.66666666669</v>
      </c>
      <c r="K57" s="2"/>
    </row>
    <row r="58" spans="1:11" x14ac:dyDescent="0.25">
      <c r="A58" s="8">
        <v>47</v>
      </c>
      <c r="B58" s="9">
        <v>45843</v>
      </c>
      <c r="C58" s="5">
        <f t="shared" si="6"/>
        <v>261666.66666666669</v>
      </c>
      <c r="D58" s="10">
        <f t="shared" si="2"/>
        <v>1630.6802176065751</v>
      </c>
      <c r="E58" s="3">
        <f t="shared" si="3"/>
        <v>263297.34688427328</v>
      </c>
      <c r="F58" s="3">
        <f t="shared" si="0"/>
        <v>833.33333333333337</v>
      </c>
      <c r="G58" s="5">
        <f t="shared" si="4"/>
        <v>2464.0135509399083</v>
      </c>
      <c r="H58" s="5">
        <v>0</v>
      </c>
      <c r="I58" s="5">
        <f t="shared" si="5"/>
        <v>2464.0135509399083</v>
      </c>
      <c r="J58" s="5">
        <f t="shared" si="1"/>
        <v>260833.33333333337</v>
      </c>
      <c r="K58" s="2"/>
    </row>
    <row r="59" spans="1:11" x14ac:dyDescent="0.25">
      <c r="A59" s="8">
        <v>48</v>
      </c>
      <c r="B59" s="9">
        <v>45874</v>
      </c>
      <c r="C59" s="5">
        <f t="shared" si="6"/>
        <v>260833.33333333337</v>
      </c>
      <c r="D59" s="10">
        <f t="shared" si="2"/>
        <v>1625.4869685059173</v>
      </c>
      <c r="E59" s="3">
        <f t="shared" si="3"/>
        <v>262458.82030183927</v>
      </c>
      <c r="F59" s="3">
        <f t="shared" si="0"/>
        <v>833.33333333333337</v>
      </c>
      <c r="G59" s="5">
        <f t="shared" si="4"/>
        <v>2458.8203018392505</v>
      </c>
      <c r="H59" s="5">
        <v>0</v>
      </c>
      <c r="I59" s="5">
        <f t="shared" si="5"/>
        <v>2458.8203018392505</v>
      </c>
      <c r="J59" s="5">
        <f t="shared" si="1"/>
        <v>260000.00000000003</v>
      </c>
      <c r="K59" s="2"/>
    </row>
    <row r="60" spans="1:11" x14ac:dyDescent="0.25">
      <c r="A60" s="8">
        <v>49</v>
      </c>
      <c r="B60" s="9">
        <v>45905</v>
      </c>
      <c r="C60" s="5">
        <f t="shared" si="6"/>
        <v>260000.00000000003</v>
      </c>
      <c r="D60" s="10">
        <f t="shared" si="2"/>
        <v>1620.2937194052593</v>
      </c>
      <c r="E60" s="3">
        <f t="shared" si="3"/>
        <v>261620.29371940528</v>
      </c>
      <c r="F60" s="3">
        <f t="shared" si="0"/>
        <v>833.33333333333337</v>
      </c>
      <c r="G60" s="5">
        <f t="shared" si="4"/>
        <v>2453.6270527385927</v>
      </c>
      <c r="H60" s="5">
        <v>0</v>
      </c>
      <c r="I60" s="5">
        <f t="shared" si="5"/>
        <v>2453.6270527385927</v>
      </c>
      <c r="J60" s="5">
        <f t="shared" si="1"/>
        <v>259166.66666666669</v>
      </c>
      <c r="K60" s="2"/>
    </row>
    <row r="61" spans="1:11" x14ac:dyDescent="0.25">
      <c r="A61" s="8">
        <v>50</v>
      </c>
      <c r="B61" s="9">
        <v>45935</v>
      </c>
      <c r="C61" s="5">
        <f t="shared" si="6"/>
        <v>259166.66666666669</v>
      </c>
      <c r="D61" s="10">
        <f t="shared" si="2"/>
        <v>1615.1004703046015</v>
      </c>
      <c r="E61" s="3">
        <f t="shared" si="3"/>
        <v>260781.76713697129</v>
      </c>
      <c r="F61" s="3">
        <f t="shared" si="0"/>
        <v>833.33333333333337</v>
      </c>
      <c r="G61" s="5">
        <f t="shared" si="4"/>
        <v>2448.4338036379349</v>
      </c>
      <c r="H61" s="5">
        <v>0</v>
      </c>
      <c r="I61" s="5">
        <f t="shared" si="5"/>
        <v>2448.4338036379349</v>
      </c>
      <c r="J61" s="5">
        <f t="shared" si="1"/>
        <v>258333.33333333334</v>
      </c>
      <c r="K61" s="2"/>
    </row>
    <row r="62" spans="1:11" x14ac:dyDescent="0.25">
      <c r="A62" s="8">
        <v>51</v>
      </c>
      <c r="B62" s="9">
        <v>45966</v>
      </c>
      <c r="C62" s="5">
        <f t="shared" si="6"/>
        <v>258333.33333333334</v>
      </c>
      <c r="D62" s="10">
        <f t="shared" si="2"/>
        <v>1609.9072212039434</v>
      </c>
      <c r="E62" s="3">
        <f t="shared" si="3"/>
        <v>259943.24055453727</v>
      </c>
      <c r="F62" s="3">
        <f t="shared" si="0"/>
        <v>833.33333333333337</v>
      </c>
      <c r="G62" s="5">
        <f t="shared" si="4"/>
        <v>2443.2405545372767</v>
      </c>
      <c r="H62" s="5">
        <v>0</v>
      </c>
      <c r="I62" s="5">
        <f t="shared" si="5"/>
        <v>2443.2405545372767</v>
      </c>
      <c r="J62" s="5">
        <f t="shared" si="1"/>
        <v>257500</v>
      </c>
      <c r="K62" s="2"/>
    </row>
    <row r="63" spans="1:11" x14ac:dyDescent="0.25">
      <c r="A63" s="8">
        <v>52</v>
      </c>
      <c r="B63" s="9">
        <v>45996</v>
      </c>
      <c r="C63" s="5">
        <f t="shared" si="6"/>
        <v>257500</v>
      </c>
      <c r="D63" s="10">
        <f t="shared" si="2"/>
        <v>1604.7139721032854</v>
      </c>
      <c r="E63" s="3">
        <f t="shared" si="3"/>
        <v>259104.71397210329</v>
      </c>
      <c r="F63" s="3">
        <f t="shared" si="0"/>
        <v>833.33333333333337</v>
      </c>
      <c r="G63" s="5">
        <f t="shared" si="4"/>
        <v>2438.0473054366189</v>
      </c>
      <c r="H63" s="5">
        <v>0</v>
      </c>
      <c r="I63" s="5">
        <f t="shared" si="5"/>
        <v>2438.0473054366189</v>
      </c>
      <c r="J63" s="5">
        <f t="shared" si="1"/>
        <v>256666.66666666666</v>
      </c>
      <c r="K63" s="2"/>
    </row>
    <row r="64" spans="1:11" x14ac:dyDescent="0.25">
      <c r="A64" s="8">
        <v>53</v>
      </c>
      <c r="B64" s="9">
        <v>46027</v>
      </c>
      <c r="C64" s="5">
        <f t="shared" si="6"/>
        <v>256666.66666666666</v>
      </c>
      <c r="D64" s="10">
        <f t="shared" si="2"/>
        <v>1599.5207230026276</v>
      </c>
      <c r="E64" s="3">
        <f t="shared" si="3"/>
        <v>258266.18738966927</v>
      </c>
      <c r="F64" s="3">
        <f t="shared" si="0"/>
        <v>833.33333333333337</v>
      </c>
      <c r="G64" s="5">
        <f t="shared" si="4"/>
        <v>2432.8540563359611</v>
      </c>
      <c r="H64" s="5">
        <v>0</v>
      </c>
      <c r="I64" s="5">
        <f t="shared" si="5"/>
        <v>2432.8540563359611</v>
      </c>
      <c r="J64" s="5">
        <f t="shared" si="1"/>
        <v>255833.33333333331</v>
      </c>
      <c r="K64" s="2"/>
    </row>
    <row r="65" spans="1:11" x14ac:dyDescent="0.25">
      <c r="A65" s="8">
        <v>54</v>
      </c>
      <c r="B65" s="9">
        <v>46058</v>
      </c>
      <c r="C65" s="5">
        <f t="shared" si="6"/>
        <v>255833.33333333331</v>
      </c>
      <c r="D65" s="10">
        <f t="shared" si="2"/>
        <v>1594.3274739019696</v>
      </c>
      <c r="E65" s="3">
        <f t="shared" si="3"/>
        <v>257427.66080723528</v>
      </c>
      <c r="F65" s="3">
        <f t="shared" si="0"/>
        <v>833.33333333333337</v>
      </c>
      <c r="G65" s="5">
        <f t="shared" si="4"/>
        <v>2427.6608072353029</v>
      </c>
      <c r="H65" s="5">
        <v>0</v>
      </c>
      <c r="I65" s="5">
        <f t="shared" si="5"/>
        <v>2427.6608072353029</v>
      </c>
      <c r="J65" s="5">
        <f t="shared" si="1"/>
        <v>254999.99999999997</v>
      </c>
      <c r="K65" s="2"/>
    </row>
    <row r="66" spans="1:11" x14ac:dyDescent="0.25">
      <c r="A66" s="8">
        <v>55</v>
      </c>
      <c r="B66" s="9">
        <v>46086</v>
      </c>
      <c r="C66" s="5">
        <f t="shared" si="6"/>
        <v>254999.99999999997</v>
      </c>
      <c r="D66" s="10">
        <f t="shared" si="2"/>
        <v>1589.1342248013116</v>
      </c>
      <c r="E66" s="3">
        <f t="shared" si="3"/>
        <v>256589.1342248013</v>
      </c>
      <c r="F66" s="3">
        <f t="shared" si="0"/>
        <v>833.33333333333337</v>
      </c>
      <c r="G66" s="5">
        <f t="shared" si="4"/>
        <v>2422.4675581346451</v>
      </c>
      <c r="H66" s="5">
        <v>0</v>
      </c>
      <c r="I66" s="5">
        <f t="shared" si="5"/>
        <v>2422.4675581346451</v>
      </c>
      <c r="J66" s="5">
        <f t="shared" si="1"/>
        <v>254166.66666666666</v>
      </c>
      <c r="K66" s="2"/>
    </row>
    <row r="67" spans="1:11" x14ac:dyDescent="0.25">
      <c r="A67" s="8">
        <v>56</v>
      </c>
      <c r="B67" s="9">
        <v>46117</v>
      </c>
      <c r="C67" s="5">
        <f t="shared" si="6"/>
        <v>254166.66666666666</v>
      </c>
      <c r="D67" s="10">
        <f t="shared" si="2"/>
        <v>1583.9409757006538</v>
      </c>
      <c r="E67" s="3">
        <f t="shared" si="3"/>
        <v>255750.60764236731</v>
      </c>
      <c r="F67" s="3">
        <f t="shared" si="0"/>
        <v>833.33333333333337</v>
      </c>
      <c r="G67" s="5">
        <f t="shared" si="4"/>
        <v>2417.2743090339873</v>
      </c>
      <c r="H67" s="5">
        <v>0</v>
      </c>
      <c r="I67" s="5">
        <f t="shared" si="5"/>
        <v>2417.2743090339873</v>
      </c>
      <c r="J67" s="5">
        <f t="shared" si="1"/>
        <v>253333.33333333331</v>
      </c>
      <c r="K67" s="2"/>
    </row>
    <row r="68" spans="1:11" x14ac:dyDescent="0.25">
      <c r="A68" s="8">
        <v>57</v>
      </c>
      <c r="B68" s="9">
        <v>46147</v>
      </c>
      <c r="C68" s="5">
        <f t="shared" si="6"/>
        <v>253333.33333333331</v>
      </c>
      <c r="D68" s="10">
        <f t="shared" si="2"/>
        <v>1578.747726599996</v>
      </c>
      <c r="E68" s="3">
        <f t="shared" si="3"/>
        <v>254912.08105993332</v>
      </c>
      <c r="F68" s="3">
        <f t="shared" si="0"/>
        <v>833.33333333333337</v>
      </c>
      <c r="G68" s="5">
        <f t="shared" si="4"/>
        <v>2412.0810599333295</v>
      </c>
      <c r="H68" s="5">
        <v>0</v>
      </c>
      <c r="I68" s="5">
        <f t="shared" si="5"/>
        <v>2412.0810599333295</v>
      </c>
      <c r="J68" s="5">
        <f t="shared" si="1"/>
        <v>252500</v>
      </c>
      <c r="K68" s="2"/>
    </row>
    <row r="69" spans="1:11" x14ac:dyDescent="0.25">
      <c r="A69" s="8">
        <v>58</v>
      </c>
      <c r="B69" s="9">
        <v>46178</v>
      </c>
      <c r="C69" s="5">
        <f t="shared" si="6"/>
        <v>252500</v>
      </c>
      <c r="D69" s="10">
        <f t="shared" si="2"/>
        <v>1573.5544774993382</v>
      </c>
      <c r="E69" s="3">
        <f t="shared" si="3"/>
        <v>254073.55447749933</v>
      </c>
      <c r="F69" s="3">
        <f t="shared" si="0"/>
        <v>833.33333333333337</v>
      </c>
      <c r="G69" s="5">
        <f t="shared" si="4"/>
        <v>2406.8878108326717</v>
      </c>
      <c r="H69" s="5">
        <v>0</v>
      </c>
      <c r="I69" s="5">
        <f t="shared" si="5"/>
        <v>2406.8878108326717</v>
      </c>
      <c r="J69" s="5">
        <f t="shared" si="1"/>
        <v>251666.66666666666</v>
      </c>
      <c r="K69" s="2"/>
    </row>
    <row r="70" spans="1:11" x14ac:dyDescent="0.25">
      <c r="A70" s="8">
        <v>59</v>
      </c>
      <c r="B70" s="9">
        <v>46208</v>
      </c>
      <c r="C70" s="5">
        <f t="shared" si="6"/>
        <v>251666.66666666666</v>
      </c>
      <c r="D70" s="10">
        <f t="shared" si="2"/>
        <v>1568.3612283986802</v>
      </c>
      <c r="E70" s="3">
        <f t="shared" si="3"/>
        <v>253235.02789506534</v>
      </c>
      <c r="F70" s="3">
        <f t="shared" si="0"/>
        <v>833.33333333333337</v>
      </c>
      <c r="G70" s="5">
        <f t="shared" si="4"/>
        <v>2401.6945617320134</v>
      </c>
      <c r="H70" s="5">
        <v>0</v>
      </c>
      <c r="I70" s="5">
        <f t="shared" si="5"/>
        <v>2401.6945617320134</v>
      </c>
      <c r="J70" s="5">
        <f t="shared" si="1"/>
        <v>250833.33333333334</v>
      </c>
      <c r="K70" s="2"/>
    </row>
    <row r="71" spans="1:11" x14ac:dyDescent="0.25">
      <c r="A71" s="8">
        <v>60</v>
      </c>
      <c r="B71" s="9">
        <v>46239</v>
      </c>
      <c r="C71" s="5">
        <f t="shared" si="6"/>
        <v>250833.33333333334</v>
      </c>
      <c r="D71" s="10">
        <f t="shared" si="2"/>
        <v>1563.1679792980224</v>
      </c>
      <c r="E71" s="3">
        <f t="shared" si="3"/>
        <v>252396.50131263136</v>
      </c>
      <c r="F71" s="3">
        <f t="shared" si="0"/>
        <v>833.33333333333337</v>
      </c>
      <c r="G71" s="5">
        <f t="shared" si="4"/>
        <v>2396.5013126313556</v>
      </c>
      <c r="H71" s="5">
        <v>0</v>
      </c>
      <c r="I71" s="5">
        <f t="shared" si="5"/>
        <v>2396.5013126313556</v>
      </c>
      <c r="J71" s="5">
        <f t="shared" si="1"/>
        <v>250000</v>
      </c>
      <c r="K71" s="2"/>
    </row>
    <row r="72" spans="1:11" x14ac:dyDescent="0.25">
      <c r="A72" s="8">
        <v>61</v>
      </c>
      <c r="B72" s="9">
        <v>46270</v>
      </c>
      <c r="C72" s="5">
        <f t="shared" si="6"/>
        <v>250000</v>
      </c>
      <c r="D72" s="10">
        <f t="shared" si="2"/>
        <v>1557.9747301973646</v>
      </c>
      <c r="E72" s="3">
        <f t="shared" si="3"/>
        <v>251557.97473019737</v>
      </c>
      <c r="F72" s="3">
        <f t="shared" si="0"/>
        <v>833.33333333333337</v>
      </c>
      <c r="G72" s="5">
        <f t="shared" si="4"/>
        <v>2391.3080635306978</v>
      </c>
      <c r="H72" s="5">
        <v>0</v>
      </c>
      <c r="I72" s="5">
        <f t="shared" si="5"/>
        <v>2391.3080635306978</v>
      </c>
      <c r="J72" s="5">
        <f t="shared" si="1"/>
        <v>249166.66666666669</v>
      </c>
      <c r="K72" s="2"/>
    </row>
    <row r="73" spans="1:11" x14ac:dyDescent="0.25">
      <c r="A73" s="8">
        <v>62</v>
      </c>
      <c r="B73" s="9">
        <v>46300</v>
      </c>
      <c r="C73" s="5">
        <f t="shared" si="6"/>
        <v>249166.66666666669</v>
      </c>
      <c r="D73" s="10">
        <f t="shared" si="2"/>
        <v>1552.7814810967068</v>
      </c>
      <c r="E73" s="3">
        <f t="shared" si="3"/>
        <v>250719.44814776338</v>
      </c>
      <c r="F73" s="3">
        <f t="shared" si="0"/>
        <v>833.33333333333337</v>
      </c>
      <c r="G73" s="5">
        <f t="shared" si="4"/>
        <v>2386.11481443004</v>
      </c>
      <c r="H73" s="5">
        <v>0</v>
      </c>
      <c r="I73" s="5">
        <f t="shared" si="5"/>
        <v>2386.11481443004</v>
      </c>
      <c r="J73" s="5">
        <f t="shared" si="1"/>
        <v>248333.33333333334</v>
      </c>
      <c r="K73" s="2"/>
    </row>
    <row r="74" spans="1:11" x14ac:dyDescent="0.25">
      <c r="A74" s="8">
        <v>63</v>
      </c>
      <c r="B74" s="9">
        <v>46331</v>
      </c>
      <c r="C74" s="5">
        <f t="shared" si="6"/>
        <v>248333.33333333334</v>
      </c>
      <c r="D74" s="10">
        <f t="shared" si="2"/>
        <v>1547.5882319960488</v>
      </c>
      <c r="E74" s="3">
        <f t="shared" si="3"/>
        <v>249880.92156532939</v>
      </c>
      <c r="F74" s="3">
        <f t="shared" si="0"/>
        <v>833.33333333333337</v>
      </c>
      <c r="G74" s="5">
        <f t="shared" si="4"/>
        <v>2380.9215653293822</v>
      </c>
      <c r="H74" s="5">
        <v>0</v>
      </c>
      <c r="I74" s="5">
        <f t="shared" si="5"/>
        <v>2380.9215653293822</v>
      </c>
      <c r="J74" s="5">
        <f t="shared" si="1"/>
        <v>247500</v>
      </c>
      <c r="K74" s="2"/>
    </row>
    <row r="75" spans="1:11" x14ac:dyDescent="0.25">
      <c r="A75" s="8">
        <v>64</v>
      </c>
      <c r="B75" s="9">
        <v>46361</v>
      </c>
      <c r="C75" s="5">
        <f t="shared" si="6"/>
        <v>247500</v>
      </c>
      <c r="D75" s="10">
        <f t="shared" si="2"/>
        <v>1542.394982895391</v>
      </c>
      <c r="E75" s="3">
        <f t="shared" si="3"/>
        <v>249042.39498289538</v>
      </c>
      <c r="F75" s="3">
        <f t="shared" si="0"/>
        <v>833.33333333333337</v>
      </c>
      <c r="G75" s="5">
        <f t="shared" si="4"/>
        <v>2375.7283162287245</v>
      </c>
      <c r="H75" s="5">
        <v>0</v>
      </c>
      <c r="I75" s="5">
        <f t="shared" si="5"/>
        <v>2375.7283162287245</v>
      </c>
      <c r="J75" s="5">
        <f t="shared" si="1"/>
        <v>246666.66666666666</v>
      </c>
      <c r="K75" s="2"/>
    </row>
    <row r="76" spans="1:11" x14ac:dyDescent="0.25">
      <c r="A76" s="8">
        <v>65</v>
      </c>
      <c r="B76" s="9">
        <v>46392</v>
      </c>
      <c r="C76" s="5">
        <f t="shared" si="6"/>
        <v>246666.66666666666</v>
      </c>
      <c r="D76" s="10">
        <f t="shared" si="2"/>
        <v>1537.2017337947329</v>
      </c>
      <c r="E76" s="3">
        <f t="shared" si="3"/>
        <v>248203.86840046139</v>
      </c>
      <c r="F76" s="3">
        <f t="shared" ref="F76:F139" si="7">$C$4/$C$8</f>
        <v>833.33333333333337</v>
      </c>
      <c r="G76" s="5">
        <f t="shared" si="4"/>
        <v>2370.5350671280662</v>
      </c>
      <c r="H76" s="5">
        <v>0</v>
      </c>
      <c r="I76" s="5">
        <f t="shared" si="5"/>
        <v>2370.5350671280662</v>
      </c>
      <c r="J76" s="5">
        <f t="shared" ref="J76:J139" si="8">E76-I76</f>
        <v>245833.33333333331</v>
      </c>
      <c r="K76" s="2"/>
    </row>
    <row r="77" spans="1:11" x14ac:dyDescent="0.25">
      <c r="A77" s="8">
        <v>66</v>
      </c>
      <c r="B77" s="9">
        <v>46423</v>
      </c>
      <c r="C77" s="5">
        <f t="shared" si="6"/>
        <v>245833.33333333331</v>
      </c>
      <c r="D77" s="10">
        <f t="shared" ref="D77:D140" si="9">C77*$C$6</f>
        <v>1532.0084846940749</v>
      </c>
      <c r="E77" s="3">
        <f t="shared" ref="E77:E140" si="10">C77+D77</f>
        <v>247365.3418180274</v>
      </c>
      <c r="F77" s="3">
        <f t="shared" si="7"/>
        <v>833.33333333333337</v>
      </c>
      <c r="G77" s="5">
        <f t="shared" ref="G77:G140" si="11">F77+D77</f>
        <v>2365.3418180274084</v>
      </c>
      <c r="H77" s="5">
        <v>0</v>
      </c>
      <c r="I77" s="5">
        <f t="shared" ref="I77:I140" si="12">H77+G77</f>
        <v>2365.3418180274084</v>
      </c>
      <c r="J77" s="5">
        <f t="shared" si="8"/>
        <v>245000</v>
      </c>
      <c r="K77" s="2"/>
    </row>
    <row r="78" spans="1:11" x14ac:dyDescent="0.25">
      <c r="A78" s="8">
        <v>67</v>
      </c>
      <c r="B78" s="9">
        <v>46451</v>
      </c>
      <c r="C78" s="5">
        <f t="shared" ref="C78:C141" si="13">J77</f>
        <v>245000</v>
      </c>
      <c r="D78" s="10">
        <f t="shared" si="9"/>
        <v>1526.8152355934174</v>
      </c>
      <c r="E78" s="3">
        <f t="shared" si="10"/>
        <v>246526.81523559341</v>
      </c>
      <c r="F78" s="3">
        <f t="shared" si="7"/>
        <v>833.33333333333337</v>
      </c>
      <c r="G78" s="5">
        <f t="shared" si="11"/>
        <v>2360.1485689267506</v>
      </c>
      <c r="H78" s="5">
        <v>0</v>
      </c>
      <c r="I78" s="5">
        <f t="shared" si="12"/>
        <v>2360.1485689267506</v>
      </c>
      <c r="J78" s="5">
        <f t="shared" si="8"/>
        <v>244166.66666666666</v>
      </c>
      <c r="K78" s="2"/>
    </row>
    <row r="79" spans="1:11" x14ac:dyDescent="0.25">
      <c r="A79" s="8">
        <v>68</v>
      </c>
      <c r="B79" s="9">
        <v>46482</v>
      </c>
      <c r="C79" s="5">
        <f t="shared" si="13"/>
        <v>244166.66666666666</v>
      </c>
      <c r="D79" s="10">
        <f t="shared" si="9"/>
        <v>1521.6219864927593</v>
      </c>
      <c r="E79" s="3">
        <f t="shared" si="10"/>
        <v>245688.28865315943</v>
      </c>
      <c r="F79" s="3">
        <f t="shared" si="7"/>
        <v>833.33333333333337</v>
      </c>
      <c r="G79" s="5">
        <f t="shared" si="11"/>
        <v>2354.9553198260928</v>
      </c>
      <c r="H79" s="5">
        <v>0</v>
      </c>
      <c r="I79" s="5">
        <f t="shared" si="12"/>
        <v>2354.9553198260928</v>
      </c>
      <c r="J79" s="5">
        <f t="shared" si="8"/>
        <v>243333.33333333334</v>
      </c>
      <c r="K79" s="2"/>
    </row>
    <row r="80" spans="1:11" x14ac:dyDescent="0.25">
      <c r="A80" s="8">
        <v>69</v>
      </c>
      <c r="B80" s="9">
        <v>46512</v>
      </c>
      <c r="C80" s="5">
        <f t="shared" si="13"/>
        <v>243333.33333333334</v>
      </c>
      <c r="D80" s="10">
        <f t="shared" si="9"/>
        <v>1516.4287373921015</v>
      </c>
      <c r="E80" s="3">
        <f t="shared" si="10"/>
        <v>244849.76207072544</v>
      </c>
      <c r="F80" s="3">
        <f t="shared" si="7"/>
        <v>833.33333333333337</v>
      </c>
      <c r="G80" s="5">
        <f t="shared" si="11"/>
        <v>2349.762070725435</v>
      </c>
      <c r="H80" s="5">
        <v>0</v>
      </c>
      <c r="I80" s="5">
        <f t="shared" si="12"/>
        <v>2349.762070725435</v>
      </c>
      <c r="J80" s="5">
        <f t="shared" si="8"/>
        <v>242500</v>
      </c>
      <c r="K80" s="2"/>
    </row>
    <row r="81" spans="1:11" x14ac:dyDescent="0.25">
      <c r="A81" s="8">
        <v>70</v>
      </c>
      <c r="B81" s="9">
        <v>46543</v>
      </c>
      <c r="C81" s="5">
        <f t="shared" si="13"/>
        <v>242500</v>
      </c>
      <c r="D81" s="10">
        <f t="shared" si="9"/>
        <v>1511.2354882914435</v>
      </c>
      <c r="E81" s="3">
        <f t="shared" si="10"/>
        <v>244011.23548829145</v>
      </c>
      <c r="F81" s="3">
        <f t="shared" si="7"/>
        <v>833.33333333333337</v>
      </c>
      <c r="G81" s="5">
        <f t="shared" si="11"/>
        <v>2344.5688216247768</v>
      </c>
      <c r="H81" s="5">
        <v>0</v>
      </c>
      <c r="I81" s="5">
        <f t="shared" si="12"/>
        <v>2344.5688216247768</v>
      </c>
      <c r="J81" s="5">
        <f t="shared" si="8"/>
        <v>241666.66666666669</v>
      </c>
      <c r="K81" s="2"/>
    </row>
    <row r="82" spans="1:11" x14ac:dyDescent="0.25">
      <c r="A82" s="8">
        <v>71</v>
      </c>
      <c r="B82" s="9">
        <v>46573</v>
      </c>
      <c r="C82" s="5">
        <f t="shared" si="13"/>
        <v>241666.66666666669</v>
      </c>
      <c r="D82" s="10">
        <f t="shared" si="9"/>
        <v>1506.0422391907859</v>
      </c>
      <c r="E82" s="3">
        <f t="shared" si="10"/>
        <v>243172.70890585746</v>
      </c>
      <c r="F82" s="3">
        <f t="shared" si="7"/>
        <v>833.33333333333337</v>
      </c>
      <c r="G82" s="5">
        <f t="shared" si="11"/>
        <v>2339.3755725241194</v>
      </c>
      <c r="H82" s="5">
        <v>0</v>
      </c>
      <c r="I82" s="5">
        <f t="shared" si="12"/>
        <v>2339.3755725241194</v>
      </c>
      <c r="J82" s="5">
        <f t="shared" si="8"/>
        <v>240833.33333333334</v>
      </c>
      <c r="K82" s="2"/>
    </row>
    <row r="83" spans="1:11" x14ac:dyDescent="0.25">
      <c r="A83" s="8">
        <v>72</v>
      </c>
      <c r="B83" s="9">
        <v>46604</v>
      </c>
      <c r="C83" s="5">
        <f t="shared" si="13"/>
        <v>240833.33333333334</v>
      </c>
      <c r="D83" s="10">
        <f t="shared" si="9"/>
        <v>1500.8489900901279</v>
      </c>
      <c r="E83" s="3">
        <f t="shared" si="10"/>
        <v>242334.18232342348</v>
      </c>
      <c r="F83" s="3">
        <f t="shared" si="7"/>
        <v>833.33333333333337</v>
      </c>
      <c r="G83" s="5">
        <f t="shared" si="11"/>
        <v>2334.1823234234612</v>
      </c>
      <c r="H83" s="5">
        <v>0</v>
      </c>
      <c r="I83" s="5">
        <f t="shared" si="12"/>
        <v>2334.1823234234612</v>
      </c>
      <c r="J83" s="5">
        <f t="shared" si="8"/>
        <v>240000.00000000003</v>
      </c>
      <c r="K83" s="2"/>
    </row>
    <row r="84" spans="1:11" x14ac:dyDescent="0.25">
      <c r="A84" s="8">
        <v>73</v>
      </c>
      <c r="B84" s="9">
        <v>46635</v>
      </c>
      <c r="C84" s="5">
        <f t="shared" si="13"/>
        <v>240000.00000000003</v>
      </c>
      <c r="D84" s="10">
        <f t="shared" si="9"/>
        <v>1495.6557409894701</v>
      </c>
      <c r="E84" s="3">
        <f t="shared" si="10"/>
        <v>241495.65574098949</v>
      </c>
      <c r="F84" s="3">
        <f t="shared" si="7"/>
        <v>833.33333333333337</v>
      </c>
      <c r="G84" s="5">
        <f t="shared" si="11"/>
        <v>2328.9890743228034</v>
      </c>
      <c r="H84" s="5">
        <v>0</v>
      </c>
      <c r="I84" s="5">
        <f t="shared" si="12"/>
        <v>2328.9890743228034</v>
      </c>
      <c r="J84" s="5">
        <f t="shared" si="8"/>
        <v>239166.66666666669</v>
      </c>
      <c r="K84" s="2"/>
    </row>
    <row r="85" spans="1:11" x14ac:dyDescent="0.25">
      <c r="A85" s="8">
        <v>74</v>
      </c>
      <c r="B85" s="9">
        <v>46665</v>
      </c>
      <c r="C85" s="5">
        <f t="shared" si="13"/>
        <v>239166.66666666669</v>
      </c>
      <c r="D85" s="10">
        <f t="shared" si="9"/>
        <v>1490.4624918888121</v>
      </c>
      <c r="E85" s="3">
        <f t="shared" si="10"/>
        <v>240657.1291585555</v>
      </c>
      <c r="F85" s="3">
        <f t="shared" si="7"/>
        <v>833.33333333333337</v>
      </c>
      <c r="G85" s="5">
        <f t="shared" si="11"/>
        <v>2323.7958252221456</v>
      </c>
      <c r="H85" s="5">
        <v>0</v>
      </c>
      <c r="I85" s="5">
        <f t="shared" si="12"/>
        <v>2323.7958252221456</v>
      </c>
      <c r="J85" s="5">
        <f t="shared" si="8"/>
        <v>238333.33333333334</v>
      </c>
      <c r="K85" s="2"/>
    </row>
    <row r="86" spans="1:11" x14ac:dyDescent="0.25">
      <c r="A86" s="8">
        <v>75</v>
      </c>
      <c r="B86" s="9">
        <v>46696</v>
      </c>
      <c r="C86" s="5">
        <f t="shared" si="13"/>
        <v>238333.33333333334</v>
      </c>
      <c r="D86" s="10">
        <f t="shared" si="9"/>
        <v>1485.2692427881543</v>
      </c>
      <c r="E86" s="3">
        <f t="shared" si="10"/>
        <v>239818.60257612148</v>
      </c>
      <c r="F86" s="3">
        <f t="shared" si="7"/>
        <v>833.33333333333337</v>
      </c>
      <c r="G86" s="5">
        <f t="shared" si="11"/>
        <v>2318.6025761214878</v>
      </c>
      <c r="H86" s="5">
        <v>0</v>
      </c>
      <c r="I86" s="5">
        <f t="shared" si="12"/>
        <v>2318.6025761214878</v>
      </c>
      <c r="J86" s="5">
        <f t="shared" si="8"/>
        <v>237500</v>
      </c>
      <c r="K86" s="2"/>
    </row>
    <row r="87" spans="1:11" x14ac:dyDescent="0.25">
      <c r="A87" s="8">
        <v>76</v>
      </c>
      <c r="B87" s="9">
        <v>46726</v>
      </c>
      <c r="C87" s="5">
        <f t="shared" si="13"/>
        <v>237500</v>
      </c>
      <c r="D87" s="10">
        <f t="shared" si="9"/>
        <v>1480.0759936874963</v>
      </c>
      <c r="E87" s="3">
        <f t="shared" si="10"/>
        <v>238980.0759936875</v>
      </c>
      <c r="F87" s="3">
        <f t="shared" si="7"/>
        <v>833.33333333333337</v>
      </c>
      <c r="G87" s="5">
        <f t="shared" si="11"/>
        <v>2313.4093270208296</v>
      </c>
      <c r="H87" s="5">
        <v>0</v>
      </c>
      <c r="I87" s="5">
        <f t="shared" si="12"/>
        <v>2313.4093270208296</v>
      </c>
      <c r="J87" s="5">
        <f t="shared" si="8"/>
        <v>236666.66666666666</v>
      </c>
      <c r="K87" s="2"/>
    </row>
    <row r="88" spans="1:11" x14ac:dyDescent="0.25">
      <c r="A88" s="8">
        <v>77</v>
      </c>
      <c r="B88" s="9">
        <v>46757</v>
      </c>
      <c r="C88" s="5">
        <f t="shared" si="13"/>
        <v>236666.66666666666</v>
      </c>
      <c r="D88" s="10">
        <f t="shared" si="9"/>
        <v>1474.8827445868383</v>
      </c>
      <c r="E88" s="3">
        <f t="shared" si="10"/>
        <v>238141.54941125351</v>
      </c>
      <c r="F88" s="3">
        <f t="shared" si="7"/>
        <v>833.33333333333337</v>
      </c>
      <c r="G88" s="5">
        <f t="shared" si="11"/>
        <v>2308.2160779201718</v>
      </c>
      <c r="H88" s="5">
        <v>0</v>
      </c>
      <c r="I88" s="5">
        <f t="shared" si="12"/>
        <v>2308.2160779201718</v>
      </c>
      <c r="J88" s="5">
        <f t="shared" si="8"/>
        <v>235833.33333333334</v>
      </c>
      <c r="K88" s="2"/>
    </row>
    <row r="89" spans="1:11" x14ac:dyDescent="0.25">
      <c r="A89" s="8">
        <v>78</v>
      </c>
      <c r="B89" s="9">
        <v>46788</v>
      </c>
      <c r="C89" s="5">
        <f t="shared" si="13"/>
        <v>235833.33333333334</v>
      </c>
      <c r="D89" s="10">
        <f t="shared" si="9"/>
        <v>1469.6894954861807</v>
      </c>
      <c r="E89" s="3">
        <f t="shared" si="10"/>
        <v>237303.02282881952</v>
      </c>
      <c r="F89" s="3">
        <f t="shared" si="7"/>
        <v>833.33333333333337</v>
      </c>
      <c r="G89" s="5">
        <f t="shared" si="11"/>
        <v>2303.022828819514</v>
      </c>
      <c r="H89" s="5">
        <v>0</v>
      </c>
      <c r="I89" s="5">
        <f t="shared" si="12"/>
        <v>2303.022828819514</v>
      </c>
      <c r="J89" s="5">
        <f t="shared" si="8"/>
        <v>235000</v>
      </c>
      <c r="K89" s="2"/>
    </row>
    <row r="90" spans="1:11" x14ac:dyDescent="0.25">
      <c r="A90" s="8">
        <v>79</v>
      </c>
      <c r="B90" s="9">
        <v>46817</v>
      </c>
      <c r="C90" s="5">
        <f t="shared" si="13"/>
        <v>235000</v>
      </c>
      <c r="D90" s="10">
        <f t="shared" si="9"/>
        <v>1464.4962463855227</v>
      </c>
      <c r="E90" s="3">
        <f t="shared" si="10"/>
        <v>236464.49624638553</v>
      </c>
      <c r="F90" s="3">
        <f t="shared" si="7"/>
        <v>833.33333333333337</v>
      </c>
      <c r="G90" s="5">
        <f t="shared" si="11"/>
        <v>2297.8295797188562</v>
      </c>
      <c r="H90" s="5">
        <v>0</v>
      </c>
      <c r="I90" s="5">
        <f t="shared" si="12"/>
        <v>2297.8295797188562</v>
      </c>
      <c r="J90" s="5">
        <f t="shared" si="8"/>
        <v>234166.66666666669</v>
      </c>
      <c r="K90" s="2"/>
    </row>
    <row r="91" spans="1:11" x14ac:dyDescent="0.25">
      <c r="A91" s="8">
        <v>80</v>
      </c>
      <c r="B91" s="9">
        <v>46848</v>
      </c>
      <c r="C91" s="5">
        <f t="shared" si="13"/>
        <v>234166.66666666669</v>
      </c>
      <c r="D91" s="10">
        <f t="shared" si="9"/>
        <v>1459.3029972848649</v>
      </c>
      <c r="E91" s="3">
        <f t="shared" si="10"/>
        <v>235625.96966395155</v>
      </c>
      <c r="F91" s="3">
        <f t="shared" si="7"/>
        <v>833.33333333333337</v>
      </c>
      <c r="G91" s="5">
        <f t="shared" si="11"/>
        <v>2292.6363306181984</v>
      </c>
      <c r="H91" s="5">
        <v>0</v>
      </c>
      <c r="I91" s="5">
        <f t="shared" si="12"/>
        <v>2292.6363306181984</v>
      </c>
      <c r="J91" s="5">
        <f t="shared" si="8"/>
        <v>233333.33333333334</v>
      </c>
      <c r="K91" s="2"/>
    </row>
    <row r="92" spans="1:11" x14ac:dyDescent="0.25">
      <c r="A92" s="8">
        <v>81</v>
      </c>
      <c r="B92" s="9">
        <v>46878</v>
      </c>
      <c r="C92" s="5">
        <f t="shared" si="13"/>
        <v>233333.33333333334</v>
      </c>
      <c r="D92" s="10">
        <f t="shared" si="9"/>
        <v>1454.1097481842069</v>
      </c>
      <c r="E92" s="3">
        <f t="shared" si="10"/>
        <v>234787.44308151756</v>
      </c>
      <c r="F92" s="3">
        <f t="shared" si="7"/>
        <v>833.33333333333337</v>
      </c>
      <c r="G92" s="5">
        <f t="shared" si="11"/>
        <v>2287.4430815175401</v>
      </c>
      <c r="H92" s="5">
        <v>0</v>
      </c>
      <c r="I92" s="5">
        <f t="shared" si="12"/>
        <v>2287.4430815175401</v>
      </c>
      <c r="J92" s="5">
        <f t="shared" si="8"/>
        <v>232500.00000000003</v>
      </c>
      <c r="K92" s="2"/>
    </row>
    <row r="93" spans="1:11" x14ac:dyDescent="0.25">
      <c r="A93" s="8">
        <v>82</v>
      </c>
      <c r="B93" s="9">
        <v>46909</v>
      </c>
      <c r="C93" s="5">
        <f t="shared" si="13"/>
        <v>232500.00000000003</v>
      </c>
      <c r="D93" s="10">
        <f t="shared" si="9"/>
        <v>1448.9164990835493</v>
      </c>
      <c r="E93" s="3">
        <f t="shared" si="10"/>
        <v>233948.91649908357</v>
      </c>
      <c r="F93" s="3">
        <f t="shared" si="7"/>
        <v>833.33333333333337</v>
      </c>
      <c r="G93" s="5">
        <f t="shared" si="11"/>
        <v>2282.2498324168828</v>
      </c>
      <c r="H93" s="5">
        <v>0</v>
      </c>
      <c r="I93" s="5">
        <f t="shared" si="12"/>
        <v>2282.2498324168828</v>
      </c>
      <c r="J93" s="5">
        <f t="shared" si="8"/>
        <v>231666.66666666669</v>
      </c>
      <c r="K93" s="2"/>
    </row>
    <row r="94" spans="1:11" x14ac:dyDescent="0.25">
      <c r="A94" s="8">
        <v>83</v>
      </c>
      <c r="B94" s="9">
        <v>46939</v>
      </c>
      <c r="C94" s="5">
        <f t="shared" si="13"/>
        <v>231666.66666666669</v>
      </c>
      <c r="D94" s="10">
        <f t="shared" si="9"/>
        <v>1443.7232499828913</v>
      </c>
      <c r="E94" s="3">
        <f t="shared" si="10"/>
        <v>233110.38991664958</v>
      </c>
      <c r="F94" s="3">
        <f t="shared" si="7"/>
        <v>833.33333333333337</v>
      </c>
      <c r="G94" s="5">
        <f t="shared" si="11"/>
        <v>2277.0565833162245</v>
      </c>
      <c r="H94" s="5">
        <v>0</v>
      </c>
      <c r="I94" s="5">
        <f t="shared" si="12"/>
        <v>2277.0565833162245</v>
      </c>
      <c r="J94" s="5">
        <f t="shared" si="8"/>
        <v>230833.33333333337</v>
      </c>
      <c r="K94" s="2"/>
    </row>
    <row r="95" spans="1:11" x14ac:dyDescent="0.25">
      <c r="A95" s="8">
        <v>84</v>
      </c>
      <c r="B95" s="9">
        <v>46970</v>
      </c>
      <c r="C95" s="5">
        <f t="shared" si="13"/>
        <v>230833.33333333337</v>
      </c>
      <c r="D95" s="10">
        <f t="shared" si="9"/>
        <v>1438.5300008822335</v>
      </c>
      <c r="E95" s="3">
        <f t="shared" si="10"/>
        <v>232271.8633342156</v>
      </c>
      <c r="F95" s="3">
        <f t="shared" si="7"/>
        <v>833.33333333333337</v>
      </c>
      <c r="G95" s="5">
        <f t="shared" si="11"/>
        <v>2271.8633342155667</v>
      </c>
      <c r="H95" s="5">
        <v>0</v>
      </c>
      <c r="I95" s="5">
        <f t="shared" si="12"/>
        <v>2271.8633342155667</v>
      </c>
      <c r="J95" s="5">
        <f t="shared" si="8"/>
        <v>230000.00000000003</v>
      </c>
      <c r="K95" s="2"/>
    </row>
    <row r="96" spans="1:11" x14ac:dyDescent="0.25">
      <c r="A96" s="8">
        <v>85</v>
      </c>
      <c r="B96" s="9">
        <v>47001</v>
      </c>
      <c r="C96" s="5">
        <f t="shared" si="13"/>
        <v>230000.00000000003</v>
      </c>
      <c r="D96" s="10">
        <f t="shared" si="9"/>
        <v>1433.3367517815755</v>
      </c>
      <c r="E96" s="3">
        <f t="shared" si="10"/>
        <v>231433.33675178161</v>
      </c>
      <c r="F96" s="3">
        <f t="shared" si="7"/>
        <v>833.33333333333337</v>
      </c>
      <c r="G96" s="5">
        <f t="shared" si="11"/>
        <v>2266.6700851149089</v>
      </c>
      <c r="H96" s="5">
        <v>0</v>
      </c>
      <c r="I96" s="5">
        <f t="shared" si="12"/>
        <v>2266.6700851149089</v>
      </c>
      <c r="J96" s="5">
        <f t="shared" si="8"/>
        <v>229166.66666666669</v>
      </c>
      <c r="K96" s="2"/>
    </row>
    <row r="97" spans="1:11" x14ac:dyDescent="0.25">
      <c r="A97" s="8">
        <v>86</v>
      </c>
      <c r="B97" s="9">
        <v>47031</v>
      </c>
      <c r="C97" s="5">
        <f t="shared" si="13"/>
        <v>229166.66666666669</v>
      </c>
      <c r="D97" s="10">
        <f t="shared" si="9"/>
        <v>1428.1435026809177</v>
      </c>
      <c r="E97" s="3">
        <f t="shared" si="10"/>
        <v>230594.81016934759</v>
      </c>
      <c r="F97" s="3">
        <f t="shared" si="7"/>
        <v>833.33333333333337</v>
      </c>
      <c r="G97" s="5">
        <f t="shared" si="11"/>
        <v>2261.4768360142511</v>
      </c>
      <c r="H97" s="5">
        <v>0</v>
      </c>
      <c r="I97" s="5">
        <f t="shared" si="12"/>
        <v>2261.4768360142511</v>
      </c>
      <c r="J97" s="5">
        <f t="shared" si="8"/>
        <v>228333.33333333334</v>
      </c>
      <c r="K97" s="2"/>
    </row>
    <row r="98" spans="1:11" x14ac:dyDescent="0.25">
      <c r="A98" s="8">
        <v>87</v>
      </c>
      <c r="B98" s="9">
        <v>47062</v>
      </c>
      <c r="C98" s="5">
        <f t="shared" si="13"/>
        <v>228333.33333333334</v>
      </c>
      <c r="D98" s="10">
        <f t="shared" si="9"/>
        <v>1422.9502535802596</v>
      </c>
      <c r="E98" s="3">
        <f t="shared" si="10"/>
        <v>229756.2835869136</v>
      </c>
      <c r="F98" s="3">
        <f t="shared" si="7"/>
        <v>833.33333333333337</v>
      </c>
      <c r="G98" s="5">
        <f t="shared" si="11"/>
        <v>2256.2835869135929</v>
      </c>
      <c r="H98" s="5">
        <v>0</v>
      </c>
      <c r="I98" s="5">
        <f t="shared" si="12"/>
        <v>2256.2835869135929</v>
      </c>
      <c r="J98" s="5">
        <f t="shared" si="8"/>
        <v>227500</v>
      </c>
      <c r="K98" s="2"/>
    </row>
    <row r="99" spans="1:11" x14ac:dyDescent="0.25">
      <c r="A99" s="8">
        <v>88</v>
      </c>
      <c r="B99" s="9">
        <v>47092</v>
      </c>
      <c r="C99" s="5">
        <f t="shared" si="13"/>
        <v>227500</v>
      </c>
      <c r="D99" s="10">
        <f t="shared" si="9"/>
        <v>1417.7570044796018</v>
      </c>
      <c r="E99" s="3">
        <f t="shared" si="10"/>
        <v>228917.75700447962</v>
      </c>
      <c r="F99" s="3">
        <f t="shared" si="7"/>
        <v>833.33333333333337</v>
      </c>
      <c r="G99" s="5">
        <f t="shared" si="11"/>
        <v>2251.0903378129351</v>
      </c>
      <c r="H99" s="5">
        <v>0</v>
      </c>
      <c r="I99" s="5">
        <f t="shared" si="12"/>
        <v>2251.0903378129351</v>
      </c>
      <c r="J99" s="5">
        <f t="shared" si="8"/>
        <v>226666.66666666669</v>
      </c>
      <c r="K99" s="2"/>
    </row>
    <row r="100" spans="1:11" x14ac:dyDescent="0.25">
      <c r="A100" s="8">
        <v>89</v>
      </c>
      <c r="B100" s="9">
        <v>47123</v>
      </c>
      <c r="C100" s="5">
        <f t="shared" si="13"/>
        <v>226666.66666666669</v>
      </c>
      <c r="D100" s="10">
        <f t="shared" si="9"/>
        <v>1412.5637553789441</v>
      </c>
      <c r="E100" s="3">
        <f t="shared" si="10"/>
        <v>228079.23042204563</v>
      </c>
      <c r="F100" s="3">
        <f t="shared" si="7"/>
        <v>833.33333333333337</v>
      </c>
      <c r="G100" s="5">
        <f t="shared" si="11"/>
        <v>2245.8970887122773</v>
      </c>
      <c r="H100" s="5">
        <v>0</v>
      </c>
      <c r="I100" s="5">
        <f t="shared" si="12"/>
        <v>2245.8970887122773</v>
      </c>
      <c r="J100" s="5">
        <f t="shared" si="8"/>
        <v>225833.33333333334</v>
      </c>
      <c r="K100" s="2"/>
    </row>
    <row r="101" spans="1:11" x14ac:dyDescent="0.25">
      <c r="A101" s="8">
        <v>90</v>
      </c>
      <c r="B101" s="9">
        <v>47154</v>
      </c>
      <c r="C101" s="5">
        <f t="shared" si="13"/>
        <v>225833.33333333334</v>
      </c>
      <c r="D101" s="10">
        <f t="shared" si="9"/>
        <v>1407.370506278286</v>
      </c>
      <c r="E101" s="3">
        <f t="shared" si="10"/>
        <v>227240.70383961164</v>
      </c>
      <c r="F101" s="3">
        <f t="shared" si="7"/>
        <v>833.33333333333337</v>
      </c>
      <c r="G101" s="5">
        <f t="shared" si="11"/>
        <v>2240.7038396116195</v>
      </c>
      <c r="H101" s="5">
        <v>0</v>
      </c>
      <c r="I101" s="5">
        <f t="shared" si="12"/>
        <v>2240.7038396116195</v>
      </c>
      <c r="J101" s="5">
        <f t="shared" si="8"/>
        <v>225000.00000000003</v>
      </c>
      <c r="K101" s="2"/>
    </row>
    <row r="102" spans="1:11" x14ac:dyDescent="0.25">
      <c r="A102" s="8">
        <v>91</v>
      </c>
      <c r="B102" s="9">
        <v>47182</v>
      </c>
      <c r="C102" s="5">
        <f t="shared" si="13"/>
        <v>225000.00000000003</v>
      </c>
      <c r="D102" s="10">
        <f t="shared" si="9"/>
        <v>1402.1772571776282</v>
      </c>
      <c r="E102" s="3">
        <f t="shared" si="10"/>
        <v>226402.17725717765</v>
      </c>
      <c r="F102" s="3">
        <f t="shared" si="7"/>
        <v>833.33333333333337</v>
      </c>
      <c r="G102" s="5">
        <f t="shared" si="11"/>
        <v>2235.5105905109617</v>
      </c>
      <c r="H102" s="5">
        <v>0</v>
      </c>
      <c r="I102" s="5">
        <f t="shared" si="12"/>
        <v>2235.5105905109617</v>
      </c>
      <c r="J102" s="5">
        <f t="shared" si="8"/>
        <v>224166.66666666669</v>
      </c>
      <c r="K102" s="2"/>
    </row>
    <row r="103" spans="1:11" x14ac:dyDescent="0.25">
      <c r="A103" s="8">
        <v>92</v>
      </c>
      <c r="B103" s="9">
        <v>47213</v>
      </c>
      <c r="C103" s="5">
        <f t="shared" si="13"/>
        <v>224166.66666666669</v>
      </c>
      <c r="D103" s="10">
        <f t="shared" si="9"/>
        <v>1396.9840080769704</v>
      </c>
      <c r="E103" s="3">
        <f t="shared" si="10"/>
        <v>225563.65067474367</v>
      </c>
      <c r="F103" s="3">
        <f t="shared" si="7"/>
        <v>833.33333333333337</v>
      </c>
      <c r="G103" s="5">
        <f t="shared" si="11"/>
        <v>2230.3173414103039</v>
      </c>
      <c r="H103" s="5">
        <v>0</v>
      </c>
      <c r="I103" s="5">
        <f t="shared" si="12"/>
        <v>2230.3173414103039</v>
      </c>
      <c r="J103" s="5">
        <f t="shared" si="8"/>
        <v>223333.33333333337</v>
      </c>
      <c r="K103" s="2"/>
    </row>
    <row r="104" spans="1:11" x14ac:dyDescent="0.25">
      <c r="A104" s="8">
        <v>93</v>
      </c>
      <c r="B104" s="9">
        <v>47243</v>
      </c>
      <c r="C104" s="5">
        <f t="shared" si="13"/>
        <v>223333.33333333337</v>
      </c>
      <c r="D104" s="10">
        <f t="shared" si="9"/>
        <v>1391.7907589763126</v>
      </c>
      <c r="E104" s="3">
        <f t="shared" si="10"/>
        <v>224725.12409230968</v>
      </c>
      <c r="F104" s="3">
        <f t="shared" si="7"/>
        <v>833.33333333333337</v>
      </c>
      <c r="G104" s="5">
        <f t="shared" si="11"/>
        <v>2225.1240923096461</v>
      </c>
      <c r="H104" s="5">
        <v>0</v>
      </c>
      <c r="I104" s="5">
        <f t="shared" si="12"/>
        <v>2225.1240923096461</v>
      </c>
      <c r="J104" s="5">
        <f t="shared" si="8"/>
        <v>222500.00000000003</v>
      </c>
      <c r="K104" s="2"/>
    </row>
    <row r="105" spans="1:11" x14ac:dyDescent="0.25">
      <c r="A105" s="8">
        <v>94</v>
      </c>
      <c r="B105" s="9">
        <v>47274</v>
      </c>
      <c r="C105" s="5">
        <f t="shared" si="13"/>
        <v>222500.00000000003</v>
      </c>
      <c r="D105" s="10">
        <f t="shared" si="9"/>
        <v>1386.5975098756546</v>
      </c>
      <c r="E105" s="3">
        <f t="shared" si="10"/>
        <v>223886.59750987569</v>
      </c>
      <c r="F105" s="3">
        <f t="shared" si="7"/>
        <v>833.33333333333337</v>
      </c>
      <c r="G105" s="5">
        <f t="shared" si="11"/>
        <v>2219.9308432089879</v>
      </c>
      <c r="H105" s="5">
        <v>0</v>
      </c>
      <c r="I105" s="5">
        <f t="shared" si="12"/>
        <v>2219.9308432089879</v>
      </c>
      <c r="J105" s="5">
        <f t="shared" si="8"/>
        <v>221666.66666666672</v>
      </c>
      <c r="K105" s="2"/>
    </row>
    <row r="106" spans="1:11" x14ac:dyDescent="0.25">
      <c r="A106" s="8">
        <v>95</v>
      </c>
      <c r="B106" s="9">
        <v>47304</v>
      </c>
      <c r="C106" s="5">
        <f t="shared" si="13"/>
        <v>221666.66666666672</v>
      </c>
      <c r="D106" s="10">
        <f t="shared" si="9"/>
        <v>1381.4042607749968</v>
      </c>
      <c r="E106" s="3">
        <f t="shared" si="10"/>
        <v>223048.0709274417</v>
      </c>
      <c r="F106" s="3">
        <f t="shared" si="7"/>
        <v>833.33333333333337</v>
      </c>
      <c r="G106" s="5">
        <f t="shared" si="11"/>
        <v>2214.7375941083301</v>
      </c>
      <c r="H106" s="5">
        <v>0</v>
      </c>
      <c r="I106" s="5">
        <f t="shared" si="12"/>
        <v>2214.7375941083301</v>
      </c>
      <c r="J106" s="5">
        <f t="shared" si="8"/>
        <v>220833.33333333337</v>
      </c>
      <c r="K106" s="2"/>
    </row>
    <row r="107" spans="1:11" x14ac:dyDescent="0.25">
      <c r="A107" s="8">
        <v>96</v>
      </c>
      <c r="B107" s="9">
        <v>47335</v>
      </c>
      <c r="C107" s="5">
        <f t="shared" si="13"/>
        <v>220833.33333333337</v>
      </c>
      <c r="D107" s="10">
        <f t="shared" si="9"/>
        <v>1376.211011674339</v>
      </c>
      <c r="E107" s="3">
        <f t="shared" si="10"/>
        <v>222209.54434500771</v>
      </c>
      <c r="F107" s="3">
        <f t="shared" si="7"/>
        <v>833.33333333333337</v>
      </c>
      <c r="G107" s="5">
        <f t="shared" si="11"/>
        <v>2209.5443450076723</v>
      </c>
      <c r="H107" s="5">
        <v>0</v>
      </c>
      <c r="I107" s="5">
        <f t="shared" si="12"/>
        <v>2209.5443450076723</v>
      </c>
      <c r="J107" s="5">
        <f t="shared" si="8"/>
        <v>220000.00000000003</v>
      </c>
      <c r="K107" s="2"/>
    </row>
    <row r="108" spans="1:11" x14ac:dyDescent="0.25">
      <c r="A108" s="8">
        <v>97</v>
      </c>
      <c r="B108" s="9">
        <v>47366</v>
      </c>
      <c r="C108" s="5">
        <f t="shared" si="13"/>
        <v>220000.00000000003</v>
      </c>
      <c r="D108" s="10">
        <f t="shared" si="9"/>
        <v>1371.017762573681</v>
      </c>
      <c r="E108" s="3">
        <f t="shared" si="10"/>
        <v>221371.0177625737</v>
      </c>
      <c r="F108" s="3">
        <f t="shared" si="7"/>
        <v>833.33333333333337</v>
      </c>
      <c r="G108" s="5">
        <f t="shared" si="11"/>
        <v>2204.3510959070145</v>
      </c>
      <c r="H108" s="5">
        <v>0</v>
      </c>
      <c r="I108" s="5">
        <f t="shared" si="12"/>
        <v>2204.3510959070145</v>
      </c>
      <c r="J108" s="5">
        <f t="shared" si="8"/>
        <v>219166.66666666669</v>
      </c>
      <c r="K108" s="2"/>
    </row>
    <row r="109" spans="1:11" x14ac:dyDescent="0.25">
      <c r="A109" s="8">
        <v>98</v>
      </c>
      <c r="B109" s="9">
        <v>47396</v>
      </c>
      <c r="C109" s="5">
        <f t="shared" si="13"/>
        <v>219166.66666666669</v>
      </c>
      <c r="D109" s="10">
        <f t="shared" si="9"/>
        <v>1365.824513473023</v>
      </c>
      <c r="E109" s="3">
        <f t="shared" si="10"/>
        <v>220532.49118013971</v>
      </c>
      <c r="F109" s="3">
        <f t="shared" si="7"/>
        <v>833.33333333333337</v>
      </c>
      <c r="G109" s="5">
        <f t="shared" si="11"/>
        <v>2199.1578468063562</v>
      </c>
      <c r="H109" s="5">
        <v>0</v>
      </c>
      <c r="I109" s="5">
        <f t="shared" si="12"/>
        <v>2199.1578468063562</v>
      </c>
      <c r="J109" s="5">
        <f t="shared" si="8"/>
        <v>218333.33333333334</v>
      </c>
      <c r="K109" s="2"/>
    </row>
    <row r="110" spans="1:11" x14ac:dyDescent="0.25">
      <c r="A110" s="8">
        <v>99</v>
      </c>
      <c r="B110" s="9">
        <v>47427</v>
      </c>
      <c r="C110" s="5">
        <f t="shared" si="13"/>
        <v>218333.33333333334</v>
      </c>
      <c r="D110" s="10">
        <f t="shared" si="9"/>
        <v>1360.6312643723652</v>
      </c>
      <c r="E110" s="3">
        <f t="shared" si="10"/>
        <v>219693.96459770572</v>
      </c>
      <c r="F110" s="3">
        <f t="shared" si="7"/>
        <v>833.33333333333337</v>
      </c>
      <c r="G110" s="5">
        <f t="shared" si="11"/>
        <v>2193.9645977056985</v>
      </c>
      <c r="H110" s="5">
        <v>0</v>
      </c>
      <c r="I110" s="5">
        <f t="shared" si="12"/>
        <v>2193.9645977056985</v>
      </c>
      <c r="J110" s="5">
        <f t="shared" si="8"/>
        <v>217500.00000000003</v>
      </c>
      <c r="K110" s="2"/>
    </row>
    <row r="111" spans="1:11" x14ac:dyDescent="0.25">
      <c r="A111" s="8">
        <v>100</v>
      </c>
      <c r="B111" s="9">
        <v>47457</v>
      </c>
      <c r="C111" s="5">
        <f t="shared" si="13"/>
        <v>217500.00000000003</v>
      </c>
      <c r="D111" s="10">
        <f t="shared" si="9"/>
        <v>1355.4380152717074</v>
      </c>
      <c r="E111" s="3">
        <f t="shared" si="10"/>
        <v>218855.43801527173</v>
      </c>
      <c r="F111" s="3">
        <f t="shared" si="7"/>
        <v>833.33333333333337</v>
      </c>
      <c r="G111" s="5">
        <f t="shared" si="11"/>
        <v>2188.7713486050407</v>
      </c>
      <c r="H111" s="5">
        <v>0</v>
      </c>
      <c r="I111" s="5">
        <f t="shared" si="12"/>
        <v>2188.7713486050407</v>
      </c>
      <c r="J111" s="5">
        <f t="shared" si="8"/>
        <v>216666.66666666669</v>
      </c>
      <c r="K111" s="2"/>
    </row>
    <row r="112" spans="1:11" x14ac:dyDescent="0.25">
      <c r="A112" s="8">
        <v>101</v>
      </c>
      <c r="B112" s="9">
        <v>47488</v>
      </c>
      <c r="C112" s="5">
        <f t="shared" si="13"/>
        <v>216666.66666666669</v>
      </c>
      <c r="D112" s="10">
        <f t="shared" si="9"/>
        <v>1350.2447661710494</v>
      </c>
      <c r="E112" s="3">
        <f t="shared" si="10"/>
        <v>218016.91143283775</v>
      </c>
      <c r="F112" s="3">
        <f t="shared" si="7"/>
        <v>833.33333333333337</v>
      </c>
      <c r="G112" s="5">
        <f t="shared" si="11"/>
        <v>2183.5780995043829</v>
      </c>
      <c r="H112" s="5">
        <v>0</v>
      </c>
      <c r="I112" s="5">
        <f t="shared" si="12"/>
        <v>2183.5780995043829</v>
      </c>
      <c r="J112" s="5">
        <f t="shared" si="8"/>
        <v>215833.33333333337</v>
      </c>
      <c r="K112" s="2"/>
    </row>
    <row r="113" spans="1:11" x14ac:dyDescent="0.25">
      <c r="A113" s="8">
        <v>102</v>
      </c>
      <c r="B113" s="9">
        <v>47519</v>
      </c>
      <c r="C113" s="5">
        <f t="shared" si="13"/>
        <v>215833.33333333337</v>
      </c>
      <c r="D113" s="10">
        <f t="shared" si="9"/>
        <v>1345.0515170703916</v>
      </c>
      <c r="E113" s="3">
        <f t="shared" si="10"/>
        <v>217178.38485040376</v>
      </c>
      <c r="F113" s="3">
        <f t="shared" si="7"/>
        <v>833.33333333333337</v>
      </c>
      <c r="G113" s="5">
        <f t="shared" si="11"/>
        <v>2178.3848504037251</v>
      </c>
      <c r="H113" s="5">
        <v>0</v>
      </c>
      <c r="I113" s="5">
        <f t="shared" si="12"/>
        <v>2178.3848504037251</v>
      </c>
      <c r="J113" s="5">
        <f t="shared" si="8"/>
        <v>215000.00000000003</v>
      </c>
      <c r="K113" s="2"/>
    </row>
    <row r="114" spans="1:11" x14ac:dyDescent="0.25">
      <c r="A114" s="8">
        <v>103</v>
      </c>
      <c r="B114" s="9">
        <v>47547</v>
      </c>
      <c r="C114" s="5">
        <f t="shared" si="13"/>
        <v>215000.00000000003</v>
      </c>
      <c r="D114" s="10">
        <f t="shared" si="9"/>
        <v>1339.8582679697338</v>
      </c>
      <c r="E114" s="3">
        <f t="shared" si="10"/>
        <v>216339.85826796977</v>
      </c>
      <c r="F114" s="3">
        <f t="shared" si="7"/>
        <v>833.33333333333337</v>
      </c>
      <c r="G114" s="5">
        <f t="shared" si="11"/>
        <v>2173.1916013030673</v>
      </c>
      <c r="H114" s="5">
        <v>0</v>
      </c>
      <c r="I114" s="5">
        <f t="shared" si="12"/>
        <v>2173.1916013030673</v>
      </c>
      <c r="J114" s="5">
        <f t="shared" si="8"/>
        <v>214166.66666666672</v>
      </c>
      <c r="K114" s="2"/>
    </row>
    <row r="115" spans="1:11" x14ac:dyDescent="0.25">
      <c r="A115" s="8">
        <v>104</v>
      </c>
      <c r="B115" s="9">
        <v>47578</v>
      </c>
      <c r="C115" s="5">
        <f t="shared" si="13"/>
        <v>214166.66666666672</v>
      </c>
      <c r="D115" s="10">
        <f t="shared" si="9"/>
        <v>1334.665018869076</v>
      </c>
      <c r="E115" s="3">
        <f t="shared" si="10"/>
        <v>215501.33168553578</v>
      </c>
      <c r="F115" s="3">
        <f t="shared" si="7"/>
        <v>833.33333333333337</v>
      </c>
      <c r="G115" s="5">
        <f t="shared" si="11"/>
        <v>2167.9983522024095</v>
      </c>
      <c r="H115" s="5">
        <v>0</v>
      </c>
      <c r="I115" s="5">
        <f t="shared" si="12"/>
        <v>2167.9983522024095</v>
      </c>
      <c r="J115" s="5">
        <f t="shared" si="8"/>
        <v>213333.33333333337</v>
      </c>
      <c r="K115" s="2"/>
    </row>
    <row r="116" spans="1:11" x14ac:dyDescent="0.25">
      <c r="A116" s="8">
        <v>105</v>
      </c>
      <c r="B116" s="9">
        <v>47608</v>
      </c>
      <c r="C116" s="5">
        <f t="shared" si="13"/>
        <v>213333.33333333337</v>
      </c>
      <c r="D116" s="10">
        <f t="shared" si="9"/>
        <v>1329.471769768418</v>
      </c>
      <c r="E116" s="3">
        <f t="shared" si="10"/>
        <v>214662.8051031018</v>
      </c>
      <c r="F116" s="3">
        <f t="shared" si="7"/>
        <v>833.33333333333337</v>
      </c>
      <c r="G116" s="5">
        <f t="shared" si="11"/>
        <v>2162.8051031017512</v>
      </c>
      <c r="H116" s="5">
        <v>0</v>
      </c>
      <c r="I116" s="5">
        <f t="shared" si="12"/>
        <v>2162.8051031017512</v>
      </c>
      <c r="J116" s="5">
        <f t="shared" si="8"/>
        <v>212500.00000000006</v>
      </c>
      <c r="K116" s="2"/>
    </row>
    <row r="117" spans="1:11" x14ac:dyDescent="0.25">
      <c r="A117" s="8">
        <v>106</v>
      </c>
      <c r="B117" s="9">
        <v>47639</v>
      </c>
      <c r="C117" s="5">
        <f t="shared" si="13"/>
        <v>212500.00000000006</v>
      </c>
      <c r="D117" s="10">
        <f t="shared" si="9"/>
        <v>1324.2785206677602</v>
      </c>
      <c r="E117" s="3">
        <f t="shared" si="10"/>
        <v>213824.27852066781</v>
      </c>
      <c r="F117" s="3">
        <f t="shared" si="7"/>
        <v>833.33333333333337</v>
      </c>
      <c r="G117" s="5">
        <f t="shared" si="11"/>
        <v>2157.6118540010934</v>
      </c>
      <c r="H117" s="5">
        <v>0</v>
      </c>
      <c r="I117" s="5">
        <f t="shared" si="12"/>
        <v>2157.6118540010934</v>
      </c>
      <c r="J117" s="5">
        <f t="shared" si="8"/>
        <v>211666.66666666672</v>
      </c>
      <c r="K117" s="2"/>
    </row>
    <row r="118" spans="1:11" x14ac:dyDescent="0.25">
      <c r="A118" s="8">
        <v>107</v>
      </c>
      <c r="B118" s="9">
        <v>47669</v>
      </c>
      <c r="C118" s="5">
        <f t="shared" si="13"/>
        <v>211666.66666666672</v>
      </c>
      <c r="D118" s="10">
        <f t="shared" si="9"/>
        <v>1319.0852715671024</v>
      </c>
      <c r="E118" s="3">
        <f t="shared" si="10"/>
        <v>212985.75193823382</v>
      </c>
      <c r="F118" s="3">
        <f t="shared" si="7"/>
        <v>833.33333333333337</v>
      </c>
      <c r="G118" s="5">
        <f t="shared" si="11"/>
        <v>2152.4186049004356</v>
      </c>
      <c r="H118" s="5">
        <v>0</v>
      </c>
      <c r="I118" s="5">
        <f t="shared" si="12"/>
        <v>2152.4186049004356</v>
      </c>
      <c r="J118" s="5">
        <f t="shared" si="8"/>
        <v>210833.33333333337</v>
      </c>
      <c r="K118" s="2"/>
    </row>
    <row r="119" spans="1:11" x14ac:dyDescent="0.25">
      <c r="A119" s="8">
        <v>108</v>
      </c>
      <c r="B119" s="9">
        <v>47700</v>
      </c>
      <c r="C119" s="5">
        <f t="shared" si="13"/>
        <v>210833.33333333337</v>
      </c>
      <c r="D119" s="10">
        <f t="shared" si="9"/>
        <v>1313.8920224664444</v>
      </c>
      <c r="E119" s="3">
        <f t="shared" si="10"/>
        <v>212147.2253557998</v>
      </c>
      <c r="F119" s="3">
        <f t="shared" si="7"/>
        <v>833.33333333333337</v>
      </c>
      <c r="G119" s="5">
        <f t="shared" si="11"/>
        <v>2147.2253557997778</v>
      </c>
      <c r="H119" s="5">
        <v>0</v>
      </c>
      <c r="I119" s="5">
        <f t="shared" si="12"/>
        <v>2147.2253557997778</v>
      </c>
      <c r="J119" s="5">
        <f t="shared" si="8"/>
        <v>210000.00000000003</v>
      </c>
      <c r="K119" s="2"/>
    </row>
    <row r="120" spans="1:11" x14ac:dyDescent="0.25">
      <c r="A120" s="8">
        <v>109</v>
      </c>
      <c r="B120" s="9">
        <v>47731</v>
      </c>
      <c r="C120" s="5">
        <f t="shared" si="13"/>
        <v>210000.00000000003</v>
      </c>
      <c r="D120" s="10">
        <f t="shared" si="9"/>
        <v>1308.6987733657863</v>
      </c>
      <c r="E120" s="3">
        <f t="shared" si="10"/>
        <v>211308.69877336582</v>
      </c>
      <c r="F120" s="3">
        <f t="shared" si="7"/>
        <v>833.33333333333337</v>
      </c>
      <c r="G120" s="5">
        <f t="shared" si="11"/>
        <v>2142.0321066991196</v>
      </c>
      <c r="H120" s="5">
        <v>0</v>
      </c>
      <c r="I120" s="5">
        <f t="shared" si="12"/>
        <v>2142.0321066991196</v>
      </c>
      <c r="J120" s="5">
        <f t="shared" si="8"/>
        <v>209166.66666666669</v>
      </c>
      <c r="K120" s="2"/>
    </row>
    <row r="121" spans="1:11" x14ac:dyDescent="0.25">
      <c r="A121" s="8">
        <v>110</v>
      </c>
      <c r="B121" s="9">
        <v>47761</v>
      </c>
      <c r="C121" s="5">
        <f t="shared" si="13"/>
        <v>209166.66666666669</v>
      </c>
      <c r="D121" s="10">
        <f t="shared" si="9"/>
        <v>1303.5055242651285</v>
      </c>
      <c r="E121" s="3">
        <f t="shared" si="10"/>
        <v>210470.1721909318</v>
      </c>
      <c r="F121" s="3">
        <f t="shared" si="7"/>
        <v>833.33333333333337</v>
      </c>
      <c r="G121" s="5">
        <f t="shared" si="11"/>
        <v>2136.8388575984618</v>
      </c>
      <c r="H121" s="5">
        <v>0</v>
      </c>
      <c r="I121" s="5">
        <f t="shared" si="12"/>
        <v>2136.8388575984618</v>
      </c>
      <c r="J121" s="5">
        <f t="shared" si="8"/>
        <v>208333.33333333334</v>
      </c>
      <c r="K121" s="2"/>
    </row>
    <row r="122" spans="1:11" x14ac:dyDescent="0.25">
      <c r="A122" s="8">
        <v>111</v>
      </c>
      <c r="B122" s="9">
        <v>47792</v>
      </c>
      <c r="C122" s="5">
        <f t="shared" si="13"/>
        <v>208333.33333333334</v>
      </c>
      <c r="D122" s="10">
        <f t="shared" si="9"/>
        <v>1298.3122751644705</v>
      </c>
      <c r="E122" s="3">
        <f t="shared" si="10"/>
        <v>209631.64560849781</v>
      </c>
      <c r="F122" s="3">
        <f t="shared" si="7"/>
        <v>833.33333333333337</v>
      </c>
      <c r="G122" s="5">
        <f t="shared" si="11"/>
        <v>2131.645608497804</v>
      </c>
      <c r="H122" s="5">
        <v>0</v>
      </c>
      <c r="I122" s="5">
        <f t="shared" si="12"/>
        <v>2131.645608497804</v>
      </c>
      <c r="J122" s="5">
        <f t="shared" si="8"/>
        <v>207500</v>
      </c>
      <c r="K122" s="2"/>
    </row>
    <row r="123" spans="1:11" x14ac:dyDescent="0.25">
      <c r="A123" s="8">
        <v>112</v>
      </c>
      <c r="B123" s="9">
        <v>47822</v>
      </c>
      <c r="C123" s="5">
        <f t="shared" si="13"/>
        <v>207500</v>
      </c>
      <c r="D123" s="10">
        <f t="shared" si="9"/>
        <v>1293.1190260638125</v>
      </c>
      <c r="E123" s="3">
        <f t="shared" si="10"/>
        <v>208793.11902606383</v>
      </c>
      <c r="F123" s="3">
        <f t="shared" si="7"/>
        <v>833.33333333333337</v>
      </c>
      <c r="G123" s="5">
        <f t="shared" si="11"/>
        <v>2126.4523593971458</v>
      </c>
      <c r="H123" s="5">
        <v>0</v>
      </c>
      <c r="I123" s="5">
        <f t="shared" si="12"/>
        <v>2126.4523593971458</v>
      </c>
      <c r="J123" s="5">
        <f t="shared" si="8"/>
        <v>206666.66666666669</v>
      </c>
      <c r="K123" s="2"/>
    </row>
    <row r="124" spans="1:11" x14ac:dyDescent="0.25">
      <c r="A124" s="8">
        <v>113</v>
      </c>
      <c r="B124" s="9">
        <v>47853</v>
      </c>
      <c r="C124" s="5">
        <f t="shared" si="13"/>
        <v>206666.66666666669</v>
      </c>
      <c r="D124" s="10">
        <f t="shared" si="9"/>
        <v>1287.9257769631547</v>
      </c>
      <c r="E124" s="3">
        <f t="shared" si="10"/>
        <v>207954.59244362984</v>
      </c>
      <c r="F124" s="3">
        <f t="shared" si="7"/>
        <v>833.33333333333337</v>
      </c>
      <c r="G124" s="5">
        <f t="shared" si="11"/>
        <v>2121.259110296488</v>
      </c>
      <c r="H124" s="5">
        <v>0</v>
      </c>
      <c r="I124" s="5">
        <f t="shared" si="12"/>
        <v>2121.259110296488</v>
      </c>
      <c r="J124" s="5">
        <f t="shared" si="8"/>
        <v>205833.33333333334</v>
      </c>
      <c r="K124" s="2"/>
    </row>
    <row r="125" spans="1:11" x14ac:dyDescent="0.25">
      <c r="A125" s="8">
        <v>114</v>
      </c>
      <c r="B125" s="9">
        <v>47884</v>
      </c>
      <c r="C125" s="5">
        <f t="shared" si="13"/>
        <v>205833.33333333334</v>
      </c>
      <c r="D125" s="10">
        <f t="shared" si="9"/>
        <v>1282.7325278624969</v>
      </c>
      <c r="E125" s="3">
        <f t="shared" si="10"/>
        <v>207116.06586119585</v>
      </c>
      <c r="F125" s="3">
        <f t="shared" si="7"/>
        <v>833.33333333333337</v>
      </c>
      <c r="G125" s="5">
        <f t="shared" si="11"/>
        <v>2116.0658611958302</v>
      </c>
      <c r="H125" s="5">
        <v>0</v>
      </c>
      <c r="I125" s="5">
        <f t="shared" si="12"/>
        <v>2116.0658611958302</v>
      </c>
      <c r="J125" s="5">
        <f t="shared" si="8"/>
        <v>205000.00000000003</v>
      </c>
      <c r="K125" s="2"/>
    </row>
    <row r="126" spans="1:11" x14ac:dyDescent="0.25">
      <c r="A126" s="8">
        <v>115</v>
      </c>
      <c r="B126" s="9">
        <v>47912</v>
      </c>
      <c r="C126" s="5">
        <f t="shared" si="13"/>
        <v>205000.00000000003</v>
      </c>
      <c r="D126" s="10">
        <f t="shared" si="9"/>
        <v>1277.5392787618391</v>
      </c>
      <c r="E126" s="3">
        <f t="shared" si="10"/>
        <v>206277.53927876186</v>
      </c>
      <c r="F126" s="3">
        <f t="shared" si="7"/>
        <v>833.33333333333337</v>
      </c>
      <c r="G126" s="5">
        <f t="shared" si="11"/>
        <v>2110.8726120951724</v>
      </c>
      <c r="H126" s="5">
        <v>0</v>
      </c>
      <c r="I126" s="5">
        <f t="shared" si="12"/>
        <v>2110.8726120951724</v>
      </c>
      <c r="J126" s="5">
        <f t="shared" si="8"/>
        <v>204166.66666666669</v>
      </c>
      <c r="K126" s="2"/>
    </row>
    <row r="127" spans="1:11" x14ac:dyDescent="0.25">
      <c r="A127" s="8">
        <v>116</v>
      </c>
      <c r="B127" s="9">
        <v>47943</v>
      </c>
      <c r="C127" s="5">
        <f t="shared" si="13"/>
        <v>204166.66666666669</v>
      </c>
      <c r="D127" s="10">
        <f t="shared" si="9"/>
        <v>1272.3460296611811</v>
      </c>
      <c r="E127" s="3">
        <f t="shared" si="10"/>
        <v>205439.01269632787</v>
      </c>
      <c r="F127" s="3">
        <f t="shared" si="7"/>
        <v>833.33333333333337</v>
      </c>
      <c r="G127" s="5">
        <f t="shared" si="11"/>
        <v>2105.6793629945146</v>
      </c>
      <c r="H127" s="5">
        <v>0</v>
      </c>
      <c r="I127" s="5">
        <f t="shared" si="12"/>
        <v>2105.6793629945146</v>
      </c>
      <c r="J127" s="5">
        <f t="shared" si="8"/>
        <v>203333.33333333337</v>
      </c>
      <c r="K127" s="2"/>
    </row>
    <row r="128" spans="1:11" x14ac:dyDescent="0.25">
      <c r="A128" s="8">
        <v>117</v>
      </c>
      <c r="B128" s="9">
        <v>47973</v>
      </c>
      <c r="C128" s="5">
        <f t="shared" si="13"/>
        <v>203333.33333333337</v>
      </c>
      <c r="D128" s="10">
        <f t="shared" si="9"/>
        <v>1267.1527805605233</v>
      </c>
      <c r="E128" s="3">
        <f t="shared" si="10"/>
        <v>204600.48611389389</v>
      </c>
      <c r="F128" s="3">
        <f t="shared" si="7"/>
        <v>833.33333333333337</v>
      </c>
      <c r="G128" s="5">
        <f t="shared" si="11"/>
        <v>2100.4861138938568</v>
      </c>
      <c r="H128" s="5">
        <v>0</v>
      </c>
      <c r="I128" s="5">
        <f t="shared" si="12"/>
        <v>2100.4861138938568</v>
      </c>
      <c r="J128" s="5">
        <f t="shared" si="8"/>
        <v>202500.00000000003</v>
      </c>
      <c r="K128" s="2"/>
    </row>
    <row r="129" spans="1:11" x14ac:dyDescent="0.25">
      <c r="A129" s="8">
        <v>118</v>
      </c>
      <c r="B129" s="9">
        <v>48004</v>
      </c>
      <c r="C129" s="5">
        <f t="shared" si="13"/>
        <v>202500.00000000003</v>
      </c>
      <c r="D129" s="10">
        <f t="shared" si="9"/>
        <v>1261.9595314598655</v>
      </c>
      <c r="E129" s="3">
        <f t="shared" si="10"/>
        <v>203761.9595314599</v>
      </c>
      <c r="F129" s="3">
        <f t="shared" si="7"/>
        <v>833.33333333333337</v>
      </c>
      <c r="G129" s="5">
        <f t="shared" si="11"/>
        <v>2095.292864793199</v>
      </c>
      <c r="H129" s="5">
        <v>0</v>
      </c>
      <c r="I129" s="5">
        <f t="shared" si="12"/>
        <v>2095.292864793199</v>
      </c>
      <c r="J129" s="5">
        <f t="shared" si="8"/>
        <v>201666.66666666669</v>
      </c>
      <c r="K129" s="2"/>
    </row>
    <row r="130" spans="1:11" x14ac:dyDescent="0.25">
      <c r="A130" s="8">
        <v>119</v>
      </c>
      <c r="B130" s="9">
        <v>48034</v>
      </c>
      <c r="C130" s="5">
        <f t="shared" si="13"/>
        <v>201666.66666666669</v>
      </c>
      <c r="D130" s="10">
        <f t="shared" si="9"/>
        <v>1256.7662823592075</v>
      </c>
      <c r="E130" s="3">
        <f t="shared" si="10"/>
        <v>202923.43294902588</v>
      </c>
      <c r="F130" s="3">
        <f t="shared" si="7"/>
        <v>833.33333333333337</v>
      </c>
      <c r="G130" s="5">
        <f t="shared" si="11"/>
        <v>2090.0996156925407</v>
      </c>
      <c r="H130" s="5">
        <v>0</v>
      </c>
      <c r="I130" s="5">
        <f t="shared" si="12"/>
        <v>2090.0996156925407</v>
      </c>
      <c r="J130" s="5">
        <f t="shared" si="8"/>
        <v>200833.33333333334</v>
      </c>
      <c r="K130" s="2"/>
    </row>
    <row r="131" spans="1:11" x14ac:dyDescent="0.25">
      <c r="A131" s="8">
        <v>120</v>
      </c>
      <c r="B131" s="9">
        <v>48065</v>
      </c>
      <c r="C131" s="5">
        <f t="shared" si="13"/>
        <v>200833.33333333334</v>
      </c>
      <c r="D131" s="10">
        <f t="shared" si="9"/>
        <v>1251.5730332585497</v>
      </c>
      <c r="E131" s="3">
        <f t="shared" si="10"/>
        <v>202084.90636659189</v>
      </c>
      <c r="F131" s="3">
        <f t="shared" si="7"/>
        <v>833.33333333333337</v>
      </c>
      <c r="G131" s="5">
        <f t="shared" si="11"/>
        <v>2084.9063665918829</v>
      </c>
      <c r="H131" s="5">
        <v>0</v>
      </c>
      <c r="I131" s="5">
        <f t="shared" si="12"/>
        <v>2084.9063665918829</v>
      </c>
      <c r="J131" s="5">
        <f t="shared" si="8"/>
        <v>200000</v>
      </c>
      <c r="K131" s="2"/>
    </row>
    <row r="132" spans="1:11" x14ac:dyDescent="0.25">
      <c r="A132" s="8">
        <v>121</v>
      </c>
      <c r="B132" s="9">
        <v>48096</v>
      </c>
      <c r="C132" s="5">
        <f t="shared" si="13"/>
        <v>200000</v>
      </c>
      <c r="D132" s="10">
        <f t="shared" si="9"/>
        <v>1246.3797841578917</v>
      </c>
      <c r="E132" s="3">
        <f t="shared" si="10"/>
        <v>201246.37978415788</v>
      </c>
      <c r="F132" s="3">
        <f t="shared" si="7"/>
        <v>833.33333333333337</v>
      </c>
      <c r="G132" s="5">
        <f t="shared" si="11"/>
        <v>2079.7131174912251</v>
      </c>
      <c r="H132" s="5">
        <v>0</v>
      </c>
      <c r="I132" s="5">
        <f t="shared" si="12"/>
        <v>2079.7131174912251</v>
      </c>
      <c r="J132" s="5">
        <f t="shared" si="8"/>
        <v>199166.66666666666</v>
      </c>
      <c r="K132" s="2"/>
    </row>
    <row r="133" spans="1:11" x14ac:dyDescent="0.25">
      <c r="A133" s="8">
        <v>122</v>
      </c>
      <c r="B133" s="9">
        <v>48126</v>
      </c>
      <c r="C133" s="5">
        <f t="shared" si="13"/>
        <v>199166.66666666666</v>
      </c>
      <c r="D133" s="10">
        <f t="shared" si="9"/>
        <v>1241.1865350572336</v>
      </c>
      <c r="E133" s="3">
        <f t="shared" si="10"/>
        <v>200407.85320172389</v>
      </c>
      <c r="F133" s="3">
        <f t="shared" si="7"/>
        <v>833.33333333333337</v>
      </c>
      <c r="G133" s="5">
        <f t="shared" si="11"/>
        <v>2074.5198683905669</v>
      </c>
      <c r="H133" s="5">
        <v>0</v>
      </c>
      <c r="I133" s="5">
        <f t="shared" si="12"/>
        <v>2074.5198683905669</v>
      </c>
      <c r="J133" s="5">
        <f t="shared" si="8"/>
        <v>198333.33333333331</v>
      </c>
      <c r="K133" s="2"/>
    </row>
    <row r="134" spans="1:11" x14ac:dyDescent="0.25">
      <c r="A134" s="8">
        <v>123</v>
      </c>
      <c r="B134" s="9">
        <v>48157</v>
      </c>
      <c r="C134" s="5">
        <f t="shared" si="13"/>
        <v>198333.33333333331</v>
      </c>
      <c r="D134" s="10">
        <f t="shared" si="9"/>
        <v>1235.9932859565758</v>
      </c>
      <c r="E134" s="3">
        <f t="shared" si="10"/>
        <v>199569.3266192899</v>
      </c>
      <c r="F134" s="3">
        <f t="shared" si="7"/>
        <v>833.33333333333337</v>
      </c>
      <c r="G134" s="5">
        <f t="shared" si="11"/>
        <v>2069.3266192899091</v>
      </c>
      <c r="H134" s="5">
        <v>0</v>
      </c>
      <c r="I134" s="5">
        <f t="shared" si="12"/>
        <v>2069.3266192899091</v>
      </c>
      <c r="J134" s="5">
        <f t="shared" si="8"/>
        <v>197500</v>
      </c>
      <c r="K134" s="2"/>
    </row>
    <row r="135" spans="1:11" x14ac:dyDescent="0.25">
      <c r="A135" s="8">
        <v>124</v>
      </c>
      <c r="B135" s="9">
        <v>48187</v>
      </c>
      <c r="C135" s="5">
        <f t="shared" si="13"/>
        <v>197500</v>
      </c>
      <c r="D135" s="10">
        <f t="shared" si="9"/>
        <v>1230.8000368559181</v>
      </c>
      <c r="E135" s="3">
        <f t="shared" si="10"/>
        <v>198730.80003685592</v>
      </c>
      <c r="F135" s="3">
        <f t="shared" si="7"/>
        <v>833.33333333333337</v>
      </c>
      <c r="G135" s="5">
        <f t="shared" si="11"/>
        <v>2064.1333701892513</v>
      </c>
      <c r="H135" s="5">
        <v>0</v>
      </c>
      <c r="I135" s="5">
        <f t="shared" si="12"/>
        <v>2064.1333701892513</v>
      </c>
      <c r="J135" s="5">
        <f t="shared" si="8"/>
        <v>196666.66666666666</v>
      </c>
      <c r="K135" s="2"/>
    </row>
    <row r="136" spans="1:11" x14ac:dyDescent="0.25">
      <c r="A136" s="8">
        <v>125</v>
      </c>
      <c r="B136" s="9">
        <v>48218</v>
      </c>
      <c r="C136" s="5">
        <f t="shared" si="13"/>
        <v>196666.66666666666</v>
      </c>
      <c r="D136" s="10">
        <f t="shared" si="9"/>
        <v>1225.60678775526</v>
      </c>
      <c r="E136" s="3">
        <f t="shared" si="10"/>
        <v>197892.27345442193</v>
      </c>
      <c r="F136" s="3">
        <f t="shared" si="7"/>
        <v>833.33333333333337</v>
      </c>
      <c r="G136" s="5">
        <f t="shared" si="11"/>
        <v>2058.9401210885935</v>
      </c>
      <c r="H136" s="5">
        <v>0</v>
      </c>
      <c r="I136" s="5">
        <f t="shared" si="12"/>
        <v>2058.9401210885935</v>
      </c>
      <c r="J136" s="5">
        <f t="shared" si="8"/>
        <v>195833.33333333334</v>
      </c>
      <c r="K136" s="2"/>
    </row>
    <row r="137" spans="1:11" x14ac:dyDescent="0.25">
      <c r="A137" s="8">
        <v>126</v>
      </c>
      <c r="B137" s="9">
        <v>48249</v>
      </c>
      <c r="C137" s="5">
        <f t="shared" si="13"/>
        <v>195833.33333333334</v>
      </c>
      <c r="D137" s="10">
        <f t="shared" si="9"/>
        <v>1220.4135386546022</v>
      </c>
      <c r="E137" s="3">
        <f t="shared" si="10"/>
        <v>197053.74687198794</v>
      </c>
      <c r="F137" s="3">
        <f t="shared" si="7"/>
        <v>833.33333333333337</v>
      </c>
      <c r="G137" s="5">
        <f t="shared" si="11"/>
        <v>2053.7468719879357</v>
      </c>
      <c r="H137" s="5">
        <v>0</v>
      </c>
      <c r="I137" s="5">
        <f t="shared" si="12"/>
        <v>2053.7468719879357</v>
      </c>
      <c r="J137" s="5">
        <f t="shared" si="8"/>
        <v>195000</v>
      </c>
      <c r="K137" s="2"/>
    </row>
    <row r="138" spans="1:11" x14ac:dyDescent="0.25">
      <c r="A138" s="8">
        <v>127</v>
      </c>
      <c r="B138" s="9">
        <v>48278</v>
      </c>
      <c r="C138" s="5">
        <f t="shared" si="13"/>
        <v>195000</v>
      </c>
      <c r="D138" s="10">
        <f t="shared" si="9"/>
        <v>1215.2202895539444</v>
      </c>
      <c r="E138" s="3">
        <f t="shared" si="10"/>
        <v>196215.22028955395</v>
      </c>
      <c r="F138" s="3">
        <f t="shared" si="7"/>
        <v>833.33333333333337</v>
      </c>
      <c r="G138" s="5">
        <f t="shared" si="11"/>
        <v>2048.5536228872779</v>
      </c>
      <c r="H138" s="5">
        <v>0</v>
      </c>
      <c r="I138" s="5">
        <f t="shared" si="12"/>
        <v>2048.5536228872779</v>
      </c>
      <c r="J138" s="5">
        <f t="shared" si="8"/>
        <v>194166.66666666669</v>
      </c>
      <c r="K138" s="2"/>
    </row>
    <row r="139" spans="1:11" x14ac:dyDescent="0.25">
      <c r="A139" s="8">
        <v>128</v>
      </c>
      <c r="B139" s="9">
        <v>48309</v>
      </c>
      <c r="C139" s="5">
        <f t="shared" si="13"/>
        <v>194166.66666666669</v>
      </c>
      <c r="D139" s="10">
        <f t="shared" si="9"/>
        <v>1210.0270404532866</v>
      </c>
      <c r="E139" s="3">
        <f t="shared" si="10"/>
        <v>195376.69370711996</v>
      </c>
      <c r="F139" s="3">
        <f t="shared" si="7"/>
        <v>833.33333333333337</v>
      </c>
      <c r="G139" s="5">
        <f t="shared" si="11"/>
        <v>2043.3603737866201</v>
      </c>
      <c r="H139" s="5">
        <v>0</v>
      </c>
      <c r="I139" s="5">
        <f t="shared" si="12"/>
        <v>2043.3603737866201</v>
      </c>
      <c r="J139" s="5">
        <f t="shared" si="8"/>
        <v>193333.33333333334</v>
      </c>
      <c r="K139" s="2"/>
    </row>
    <row r="140" spans="1:11" x14ac:dyDescent="0.25">
      <c r="A140" s="8">
        <v>129</v>
      </c>
      <c r="B140" s="9">
        <v>48339</v>
      </c>
      <c r="C140" s="5">
        <f t="shared" si="13"/>
        <v>193333.33333333334</v>
      </c>
      <c r="D140" s="10">
        <f t="shared" si="9"/>
        <v>1204.8337913526286</v>
      </c>
      <c r="E140" s="3">
        <f t="shared" si="10"/>
        <v>194538.16712468598</v>
      </c>
      <c r="F140" s="3">
        <f t="shared" ref="F140:F203" si="14">$C$4/$C$8</f>
        <v>833.33333333333337</v>
      </c>
      <c r="G140" s="5">
        <f t="shared" si="11"/>
        <v>2038.1671246859619</v>
      </c>
      <c r="H140" s="5">
        <v>0</v>
      </c>
      <c r="I140" s="5">
        <f t="shared" si="12"/>
        <v>2038.1671246859619</v>
      </c>
      <c r="J140" s="5">
        <f t="shared" ref="J140:J203" si="15">E140-I140</f>
        <v>192500.00000000003</v>
      </c>
      <c r="K140" s="2"/>
    </row>
    <row r="141" spans="1:11" x14ac:dyDescent="0.25">
      <c r="A141" s="8">
        <v>130</v>
      </c>
      <c r="B141" s="9">
        <v>48370</v>
      </c>
      <c r="C141" s="5">
        <f t="shared" si="13"/>
        <v>192500.00000000003</v>
      </c>
      <c r="D141" s="10">
        <f t="shared" ref="D141:D204" si="16">C141*$C$6</f>
        <v>1199.6405422519708</v>
      </c>
      <c r="E141" s="3">
        <f t="shared" ref="E141:E204" si="17">C141+D141</f>
        <v>193699.64054225199</v>
      </c>
      <c r="F141" s="3">
        <f t="shared" si="14"/>
        <v>833.33333333333337</v>
      </c>
      <c r="G141" s="5">
        <f t="shared" ref="G141:G204" si="18">F141+D141</f>
        <v>2032.9738755853041</v>
      </c>
      <c r="H141" s="5">
        <v>0</v>
      </c>
      <c r="I141" s="5">
        <f t="shared" ref="I141:I204" si="19">H141+G141</f>
        <v>2032.9738755853041</v>
      </c>
      <c r="J141" s="5">
        <f t="shared" si="15"/>
        <v>191666.66666666669</v>
      </c>
      <c r="K141" s="2"/>
    </row>
    <row r="142" spans="1:11" x14ac:dyDescent="0.25">
      <c r="A142" s="8">
        <v>131</v>
      </c>
      <c r="B142" s="9">
        <v>48400</v>
      </c>
      <c r="C142" s="5">
        <f t="shared" ref="C142:C205" si="20">J141</f>
        <v>191666.66666666669</v>
      </c>
      <c r="D142" s="10">
        <f t="shared" si="16"/>
        <v>1194.447293151313</v>
      </c>
      <c r="E142" s="3">
        <f t="shared" si="17"/>
        <v>192861.113959818</v>
      </c>
      <c r="F142" s="3">
        <f t="shared" si="14"/>
        <v>833.33333333333337</v>
      </c>
      <c r="G142" s="5">
        <f t="shared" si="18"/>
        <v>2027.7806264846463</v>
      </c>
      <c r="H142" s="5">
        <v>0</v>
      </c>
      <c r="I142" s="5">
        <f t="shared" si="19"/>
        <v>2027.7806264846463</v>
      </c>
      <c r="J142" s="5">
        <f t="shared" si="15"/>
        <v>190833.33333333334</v>
      </c>
      <c r="K142" s="2"/>
    </row>
    <row r="143" spans="1:11" x14ac:dyDescent="0.25">
      <c r="A143" s="8">
        <v>132</v>
      </c>
      <c r="B143" s="9">
        <v>48431</v>
      </c>
      <c r="C143" s="5">
        <f t="shared" si="20"/>
        <v>190833.33333333334</v>
      </c>
      <c r="D143" s="10">
        <f t="shared" si="16"/>
        <v>1189.254044050655</v>
      </c>
      <c r="E143" s="3">
        <f t="shared" si="17"/>
        <v>192022.58737738398</v>
      </c>
      <c r="F143" s="3">
        <f t="shared" si="14"/>
        <v>833.33333333333337</v>
      </c>
      <c r="G143" s="5">
        <f t="shared" si="18"/>
        <v>2022.5873773839885</v>
      </c>
      <c r="H143" s="5">
        <v>0</v>
      </c>
      <c r="I143" s="5">
        <f t="shared" si="19"/>
        <v>2022.5873773839885</v>
      </c>
      <c r="J143" s="5">
        <f t="shared" si="15"/>
        <v>190000</v>
      </c>
      <c r="K143" s="2"/>
    </row>
    <row r="144" spans="1:11" x14ac:dyDescent="0.25">
      <c r="A144" s="8">
        <v>133</v>
      </c>
      <c r="B144" s="9">
        <v>48462</v>
      </c>
      <c r="C144" s="5">
        <f t="shared" si="20"/>
        <v>190000</v>
      </c>
      <c r="D144" s="10">
        <f t="shared" si="16"/>
        <v>1184.060794949997</v>
      </c>
      <c r="E144" s="3">
        <f t="shared" si="17"/>
        <v>191184.06079495</v>
      </c>
      <c r="F144" s="3">
        <f t="shared" si="14"/>
        <v>833.33333333333337</v>
      </c>
      <c r="G144" s="5">
        <f t="shared" si="18"/>
        <v>2017.3941282833302</v>
      </c>
      <c r="H144" s="5">
        <v>0</v>
      </c>
      <c r="I144" s="5">
        <f t="shared" si="19"/>
        <v>2017.3941282833302</v>
      </c>
      <c r="J144" s="5">
        <f t="shared" si="15"/>
        <v>189166.66666666666</v>
      </c>
      <c r="K144" s="2"/>
    </row>
    <row r="145" spans="1:11" x14ac:dyDescent="0.25">
      <c r="A145" s="8">
        <v>134</v>
      </c>
      <c r="B145" s="9">
        <v>48492</v>
      </c>
      <c r="C145" s="5">
        <f t="shared" si="20"/>
        <v>189166.66666666666</v>
      </c>
      <c r="D145" s="10">
        <f t="shared" si="16"/>
        <v>1178.8675458493392</v>
      </c>
      <c r="E145" s="3">
        <f t="shared" si="17"/>
        <v>190345.53421251601</v>
      </c>
      <c r="F145" s="3">
        <f t="shared" si="14"/>
        <v>833.33333333333337</v>
      </c>
      <c r="G145" s="5">
        <f t="shared" si="18"/>
        <v>2012.2008791826725</v>
      </c>
      <c r="H145" s="5">
        <v>0</v>
      </c>
      <c r="I145" s="5">
        <f t="shared" si="19"/>
        <v>2012.2008791826725</v>
      </c>
      <c r="J145" s="5">
        <f t="shared" si="15"/>
        <v>188333.33333333334</v>
      </c>
      <c r="K145" s="2"/>
    </row>
    <row r="146" spans="1:11" x14ac:dyDescent="0.25">
      <c r="A146" s="8">
        <v>135</v>
      </c>
      <c r="B146" s="9">
        <v>48523</v>
      </c>
      <c r="C146" s="5">
        <f t="shared" si="20"/>
        <v>188333.33333333334</v>
      </c>
      <c r="D146" s="10">
        <f t="shared" si="16"/>
        <v>1173.6742967486814</v>
      </c>
      <c r="E146" s="3">
        <f t="shared" si="17"/>
        <v>189507.00763008202</v>
      </c>
      <c r="F146" s="3">
        <f t="shared" si="14"/>
        <v>833.33333333333337</v>
      </c>
      <c r="G146" s="5">
        <f t="shared" si="18"/>
        <v>2007.0076300820147</v>
      </c>
      <c r="H146" s="5">
        <v>0</v>
      </c>
      <c r="I146" s="5">
        <f t="shared" si="19"/>
        <v>2007.0076300820147</v>
      </c>
      <c r="J146" s="5">
        <f t="shared" si="15"/>
        <v>187500</v>
      </c>
      <c r="K146" s="2"/>
    </row>
    <row r="147" spans="1:11" x14ac:dyDescent="0.25">
      <c r="A147" s="8">
        <v>136</v>
      </c>
      <c r="B147" s="9">
        <v>48553</v>
      </c>
      <c r="C147" s="5">
        <f t="shared" si="20"/>
        <v>187500</v>
      </c>
      <c r="D147" s="10">
        <f t="shared" si="16"/>
        <v>1168.4810476480234</v>
      </c>
      <c r="E147" s="3">
        <f t="shared" si="17"/>
        <v>188668.48104764803</v>
      </c>
      <c r="F147" s="3">
        <f t="shared" si="14"/>
        <v>833.33333333333337</v>
      </c>
      <c r="G147" s="5">
        <f t="shared" si="18"/>
        <v>2001.8143809813569</v>
      </c>
      <c r="H147" s="5">
        <v>0</v>
      </c>
      <c r="I147" s="5">
        <f t="shared" si="19"/>
        <v>2001.8143809813569</v>
      </c>
      <c r="J147" s="5">
        <f t="shared" si="15"/>
        <v>186666.66666666669</v>
      </c>
      <c r="K147" s="2"/>
    </row>
    <row r="148" spans="1:11" x14ac:dyDescent="0.25">
      <c r="A148" s="8">
        <v>137</v>
      </c>
      <c r="B148" s="9">
        <v>48584</v>
      </c>
      <c r="C148" s="5">
        <f t="shared" si="20"/>
        <v>186666.66666666669</v>
      </c>
      <c r="D148" s="10">
        <f t="shared" si="16"/>
        <v>1163.2877985473656</v>
      </c>
      <c r="E148" s="3">
        <f t="shared" si="17"/>
        <v>187829.95446521405</v>
      </c>
      <c r="F148" s="3">
        <f t="shared" si="14"/>
        <v>833.33333333333337</v>
      </c>
      <c r="G148" s="5">
        <f t="shared" si="18"/>
        <v>1996.6211318806991</v>
      </c>
      <c r="H148" s="5">
        <v>0</v>
      </c>
      <c r="I148" s="5">
        <f t="shared" si="19"/>
        <v>1996.6211318806991</v>
      </c>
      <c r="J148" s="5">
        <f t="shared" si="15"/>
        <v>185833.33333333334</v>
      </c>
      <c r="K148" s="2"/>
    </row>
    <row r="149" spans="1:11" x14ac:dyDescent="0.25">
      <c r="A149" s="8">
        <v>138</v>
      </c>
      <c r="B149" s="9">
        <v>48615</v>
      </c>
      <c r="C149" s="5">
        <f t="shared" si="20"/>
        <v>185833.33333333334</v>
      </c>
      <c r="D149" s="10">
        <f t="shared" si="16"/>
        <v>1158.0945494467078</v>
      </c>
      <c r="E149" s="3">
        <f t="shared" si="17"/>
        <v>186991.42788278006</v>
      </c>
      <c r="F149" s="3">
        <f t="shared" si="14"/>
        <v>833.33333333333337</v>
      </c>
      <c r="G149" s="5">
        <f t="shared" si="18"/>
        <v>1991.4278827800413</v>
      </c>
      <c r="H149" s="5">
        <v>0</v>
      </c>
      <c r="I149" s="5">
        <f t="shared" si="19"/>
        <v>1991.4278827800413</v>
      </c>
      <c r="J149" s="5">
        <f t="shared" si="15"/>
        <v>185000.00000000003</v>
      </c>
      <c r="K149" s="2"/>
    </row>
    <row r="150" spans="1:11" x14ac:dyDescent="0.25">
      <c r="A150" s="8">
        <v>139</v>
      </c>
      <c r="B150" s="9">
        <v>48643</v>
      </c>
      <c r="C150" s="5">
        <f t="shared" si="20"/>
        <v>185000.00000000003</v>
      </c>
      <c r="D150" s="10">
        <f t="shared" si="16"/>
        <v>1152.90130034605</v>
      </c>
      <c r="E150" s="3">
        <f t="shared" si="17"/>
        <v>186152.90130034607</v>
      </c>
      <c r="F150" s="3">
        <f t="shared" si="14"/>
        <v>833.33333333333337</v>
      </c>
      <c r="G150" s="5">
        <f t="shared" si="18"/>
        <v>1986.2346336793835</v>
      </c>
      <c r="H150" s="5">
        <v>0</v>
      </c>
      <c r="I150" s="5">
        <f t="shared" si="19"/>
        <v>1986.2346336793835</v>
      </c>
      <c r="J150" s="5">
        <f t="shared" si="15"/>
        <v>184166.66666666669</v>
      </c>
      <c r="K150" s="2"/>
    </row>
    <row r="151" spans="1:11" x14ac:dyDescent="0.25">
      <c r="A151" s="8">
        <v>140</v>
      </c>
      <c r="B151" s="9">
        <v>48674</v>
      </c>
      <c r="C151" s="5">
        <f t="shared" si="20"/>
        <v>184166.66666666669</v>
      </c>
      <c r="D151" s="10">
        <f t="shared" si="16"/>
        <v>1147.708051245392</v>
      </c>
      <c r="E151" s="3">
        <f t="shared" si="17"/>
        <v>185314.37471791208</v>
      </c>
      <c r="F151" s="3">
        <f t="shared" si="14"/>
        <v>833.33333333333337</v>
      </c>
      <c r="G151" s="5">
        <f t="shared" si="18"/>
        <v>1981.0413845787252</v>
      </c>
      <c r="H151" s="5">
        <v>0</v>
      </c>
      <c r="I151" s="5">
        <f t="shared" si="19"/>
        <v>1981.0413845787252</v>
      </c>
      <c r="J151" s="5">
        <f t="shared" si="15"/>
        <v>183333.33333333337</v>
      </c>
      <c r="K151" s="2"/>
    </row>
    <row r="152" spans="1:11" x14ac:dyDescent="0.25">
      <c r="A152" s="8">
        <v>141</v>
      </c>
      <c r="B152" s="9">
        <v>48704</v>
      </c>
      <c r="C152" s="5">
        <f t="shared" si="20"/>
        <v>183333.33333333337</v>
      </c>
      <c r="D152" s="10">
        <f t="shared" si="16"/>
        <v>1142.5148021447342</v>
      </c>
      <c r="E152" s="3">
        <f t="shared" si="17"/>
        <v>184475.8481354781</v>
      </c>
      <c r="F152" s="3">
        <f t="shared" si="14"/>
        <v>833.33333333333337</v>
      </c>
      <c r="G152" s="5">
        <f t="shared" si="18"/>
        <v>1975.8481354780674</v>
      </c>
      <c r="H152" s="5">
        <v>0</v>
      </c>
      <c r="I152" s="5">
        <f t="shared" si="19"/>
        <v>1975.8481354780674</v>
      </c>
      <c r="J152" s="5">
        <f t="shared" si="15"/>
        <v>182500.00000000003</v>
      </c>
      <c r="K152" s="2"/>
    </row>
    <row r="153" spans="1:11" x14ac:dyDescent="0.25">
      <c r="A153" s="8">
        <v>142</v>
      </c>
      <c r="B153" s="9">
        <v>48735</v>
      </c>
      <c r="C153" s="5">
        <f t="shared" si="20"/>
        <v>182500.00000000003</v>
      </c>
      <c r="D153" s="10">
        <f t="shared" si="16"/>
        <v>1137.3215530440764</v>
      </c>
      <c r="E153" s="3">
        <f t="shared" si="17"/>
        <v>183637.32155304411</v>
      </c>
      <c r="F153" s="3">
        <f t="shared" si="14"/>
        <v>833.33333333333337</v>
      </c>
      <c r="G153" s="5">
        <f t="shared" si="18"/>
        <v>1970.6548863774096</v>
      </c>
      <c r="H153" s="5">
        <v>0</v>
      </c>
      <c r="I153" s="5">
        <f t="shared" si="19"/>
        <v>1970.6548863774096</v>
      </c>
      <c r="J153" s="5">
        <f t="shared" si="15"/>
        <v>181666.66666666669</v>
      </c>
      <c r="K153" s="2"/>
    </row>
    <row r="154" spans="1:11" x14ac:dyDescent="0.25">
      <c r="A154" s="8">
        <v>143</v>
      </c>
      <c r="B154" s="9">
        <v>48765</v>
      </c>
      <c r="C154" s="5">
        <f t="shared" si="20"/>
        <v>181666.66666666669</v>
      </c>
      <c r="D154" s="10">
        <f t="shared" si="16"/>
        <v>1132.1283039434184</v>
      </c>
      <c r="E154" s="3">
        <f t="shared" si="17"/>
        <v>182798.79497061009</v>
      </c>
      <c r="F154" s="3">
        <f t="shared" si="14"/>
        <v>833.33333333333337</v>
      </c>
      <c r="G154" s="5">
        <f t="shared" si="18"/>
        <v>1965.4616372767518</v>
      </c>
      <c r="H154" s="5">
        <v>0</v>
      </c>
      <c r="I154" s="5">
        <f t="shared" si="19"/>
        <v>1965.4616372767518</v>
      </c>
      <c r="J154" s="5">
        <f t="shared" si="15"/>
        <v>180833.33333333334</v>
      </c>
      <c r="K154" s="2"/>
    </row>
    <row r="155" spans="1:11" x14ac:dyDescent="0.25">
      <c r="A155" s="8">
        <v>144</v>
      </c>
      <c r="B155" s="9">
        <v>48796</v>
      </c>
      <c r="C155" s="5">
        <f t="shared" si="20"/>
        <v>180833.33333333334</v>
      </c>
      <c r="D155" s="10">
        <f t="shared" si="16"/>
        <v>1126.9350548427603</v>
      </c>
      <c r="E155" s="3">
        <f t="shared" si="17"/>
        <v>181960.2683881761</v>
      </c>
      <c r="F155" s="3">
        <f t="shared" si="14"/>
        <v>833.33333333333337</v>
      </c>
      <c r="G155" s="5">
        <f t="shared" si="18"/>
        <v>1960.2683881760936</v>
      </c>
      <c r="H155" s="5">
        <v>0</v>
      </c>
      <c r="I155" s="5">
        <f t="shared" si="19"/>
        <v>1960.2683881760936</v>
      </c>
      <c r="J155" s="5">
        <f t="shared" si="15"/>
        <v>180000</v>
      </c>
      <c r="K155" s="2"/>
    </row>
    <row r="156" spans="1:11" x14ac:dyDescent="0.25">
      <c r="A156" s="8">
        <v>145</v>
      </c>
      <c r="B156" s="9">
        <v>48827</v>
      </c>
      <c r="C156" s="5">
        <f t="shared" si="20"/>
        <v>180000</v>
      </c>
      <c r="D156" s="10">
        <f t="shared" si="16"/>
        <v>1121.7418057421025</v>
      </c>
      <c r="E156" s="3">
        <f t="shared" si="17"/>
        <v>181121.74180574212</v>
      </c>
      <c r="F156" s="3">
        <f t="shared" si="14"/>
        <v>833.33333333333337</v>
      </c>
      <c r="G156" s="5">
        <f t="shared" si="18"/>
        <v>1955.0751390754358</v>
      </c>
      <c r="H156" s="5">
        <v>0</v>
      </c>
      <c r="I156" s="5">
        <f t="shared" si="19"/>
        <v>1955.0751390754358</v>
      </c>
      <c r="J156" s="5">
        <f t="shared" si="15"/>
        <v>179166.66666666669</v>
      </c>
      <c r="K156" s="2"/>
    </row>
    <row r="157" spans="1:11" x14ac:dyDescent="0.25">
      <c r="A157" s="8">
        <v>146</v>
      </c>
      <c r="B157" s="9">
        <v>48857</v>
      </c>
      <c r="C157" s="5">
        <f t="shared" si="20"/>
        <v>179166.66666666669</v>
      </c>
      <c r="D157" s="10">
        <f t="shared" si="16"/>
        <v>1116.5485566414447</v>
      </c>
      <c r="E157" s="3">
        <f t="shared" si="17"/>
        <v>180283.21522330813</v>
      </c>
      <c r="F157" s="3">
        <f t="shared" si="14"/>
        <v>833.33333333333337</v>
      </c>
      <c r="G157" s="5">
        <f t="shared" si="18"/>
        <v>1949.881889974778</v>
      </c>
      <c r="H157" s="5">
        <v>0</v>
      </c>
      <c r="I157" s="5">
        <f t="shared" si="19"/>
        <v>1949.881889974778</v>
      </c>
      <c r="J157" s="5">
        <f t="shared" si="15"/>
        <v>178333.33333333334</v>
      </c>
      <c r="K157" s="2"/>
    </row>
    <row r="158" spans="1:11" x14ac:dyDescent="0.25">
      <c r="A158" s="8">
        <v>147</v>
      </c>
      <c r="B158" s="9">
        <v>48888</v>
      </c>
      <c r="C158" s="5">
        <f t="shared" si="20"/>
        <v>178333.33333333334</v>
      </c>
      <c r="D158" s="10">
        <f t="shared" si="16"/>
        <v>1111.3553075407867</v>
      </c>
      <c r="E158" s="3">
        <f t="shared" si="17"/>
        <v>179444.68864087414</v>
      </c>
      <c r="F158" s="3">
        <f t="shared" si="14"/>
        <v>833.33333333333337</v>
      </c>
      <c r="G158" s="5">
        <f t="shared" si="18"/>
        <v>1944.6886408741202</v>
      </c>
      <c r="H158" s="5">
        <v>0</v>
      </c>
      <c r="I158" s="5">
        <f t="shared" si="19"/>
        <v>1944.6886408741202</v>
      </c>
      <c r="J158" s="5">
        <f t="shared" si="15"/>
        <v>177500.00000000003</v>
      </c>
      <c r="K158" s="2"/>
    </row>
    <row r="159" spans="1:11" x14ac:dyDescent="0.25">
      <c r="A159" s="8">
        <v>148</v>
      </c>
      <c r="B159" s="9">
        <v>48918</v>
      </c>
      <c r="C159" s="5">
        <f t="shared" si="20"/>
        <v>177500.00000000003</v>
      </c>
      <c r="D159" s="10">
        <f t="shared" si="16"/>
        <v>1106.1620584401289</v>
      </c>
      <c r="E159" s="3">
        <f t="shared" si="17"/>
        <v>178606.16205844015</v>
      </c>
      <c r="F159" s="3">
        <f t="shared" si="14"/>
        <v>833.33333333333337</v>
      </c>
      <c r="G159" s="5">
        <f t="shared" si="18"/>
        <v>1939.4953917734624</v>
      </c>
      <c r="H159" s="5">
        <v>0</v>
      </c>
      <c r="I159" s="5">
        <f t="shared" si="19"/>
        <v>1939.4953917734624</v>
      </c>
      <c r="J159" s="5">
        <f t="shared" si="15"/>
        <v>176666.66666666669</v>
      </c>
      <c r="K159" s="2"/>
    </row>
    <row r="160" spans="1:11" x14ac:dyDescent="0.25">
      <c r="A160" s="8">
        <v>149</v>
      </c>
      <c r="B160" s="9">
        <v>48949</v>
      </c>
      <c r="C160" s="5">
        <f t="shared" si="20"/>
        <v>176666.66666666669</v>
      </c>
      <c r="D160" s="10">
        <f t="shared" si="16"/>
        <v>1100.9688093394711</v>
      </c>
      <c r="E160" s="3">
        <f t="shared" si="17"/>
        <v>177767.63547600617</v>
      </c>
      <c r="F160" s="3">
        <f t="shared" si="14"/>
        <v>833.33333333333337</v>
      </c>
      <c r="G160" s="5">
        <f t="shared" si="18"/>
        <v>1934.3021426728046</v>
      </c>
      <c r="H160" s="5">
        <v>0</v>
      </c>
      <c r="I160" s="5">
        <f t="shared" si="19"/>
        <v>1934.3021426728046</v>
      </c>
      <c r="J160" s="5">
        <f t="shared" si="15"/>
        <v>175833.33333333337</v>
      </c>
      <c r="K160" s="2"/>
    </row>
    <row r="161" spans="1:11" x14ac:dyDescent="0.25">
      <c r="A161" s="8">
        <v>150</v>
      </c>
      <c r="B161" s="9">
        <v>48980</v>
      </c>
      <c r="C161" s="5">
        <f t="shared" si="20"/>
        <v>175833.33333333337</v>
      </c>
      <c r="D161" s="10">
        <f t="shared" si="16"/>
        <v>1095.7755602388133</v>
      </c>
      <c r="E161" s="3">
        <f t="shared" si="17"/>
        <v>176929.10889357218</v>
      </c>
      <c r="F161" s="3">
        <f t="shared" si="14"/>
        <v>833.33333333333337</v>
      </c>
      <c r="G161" s="5">
        <f t="shared" si="18"/>
        <v>1929.1088935721468</v>
      </c>
      <c r="H161" s="5">
        <v>0</v>
      </c>
      <c r="I161" s="5">
        <f t="shared" si="19"/>
        <v>1929.1088935721468</v>
      </c>
      <c r="J161" s="5">
        <f t="shared" si="15"/>
        <v>175000.00000000003</v>
      </c>
      <c r="K161" s="2"/>
    </row>
    <row r="162" spans="1:11" x14ac:dyDescent="0.25">
      <c r="A162" s="8">
        <v>151</v>
      </c>
      <c r="B162" s="9">
        <v>49008</v>
      </c>
      <c r="C162" s="5">
        <f t="shared" si="20"/>
        <v>175000.00000000003</v>
      </c>
      <c r="D162" s="10">
        <f t="shared" si="16"/>
        <v>1090.5823111381553</v>
      </c>
      <c r="E162" s="3">
        <f t="shared" si="17"/>
        <v>176090.58231113819</v>
      </c>
      <c r="F162" s="3">
        <f t="shared" si="14"/>
        <v>833.33333333333337</v>
      </c>
      <c r="G162" s="5">
        <f t="shared" si="18"/>
        <v>1923.9156444714886</v>
      </c>
      <c r="H162" s="5">
        <v>0</v>
      </c>
      <c r="I162" s="5">
        <f t="shared" si="19"/>
        <v>1923.9156444714886</v>
      </c>
      <c r="J162" s="5">
        <f t="shared" si="15"/>
        <v>174166.66666666672</v>
      </c>
      <c r="K162" s="2"/>
    </row>
    <row r="163" spans="1:11" x14ac:dyDescent="0.25">
      <c r="A163" s="8">
        <v>152</v>
      </c>
      <c r="B163" s="9">
        <v>49039</v>
      </c>
      <c r="C163" s="5">
        <f t="shared" si="20"/>
        <v>174166.66666666672</v>
      </c>
      <c r="D163" s="10">
        <f t="shared" si="16"/>
        <v>1085.3890620374975</v>
      </c>
      <c r="E163" s="3">
        <f t="shared" si="17"/>
        <v>175252.0557287042</v>
      </c>
      <c r="F163" s="3">
        <f t="shared" si="14"/>
        <v>833.33333333333337</v>
      </c>
      <c r="G163" s="5">
        <f t="shared" si="18"/>
        <v>1918.7223953708308</v>
      </c>
      <c r="H163" s="5">
        <v>0</v>
      </c>
      <c r="I163" s="5">
        <f t="shared" si="19"/>
        <v>1918.7223953708308</v>
      </c>
      <c r="J163" s="5">
        <f t="shared" si="15"/>
        <v>173333.33333333337</v>
      </c>
      <c r="K163" s="2"/>
    </row>
    <row r="164" spans="1:11" x14ac:dyDescent="0.25">
      <c r="A164" s="8">
        <v>153</v>
      </c>
      <c r="B164" s="9">
        <v>49069</v>
      </c>
      <c r="C164" s="5">
        <f t="shared" si="20"/>
        <v>173333.33333333337</v>
      </c>
      <c r="D164" s="10">
        <f t="shared" si="16"/>
        <v>1080.1958129368397</v>
      </c>
      <c r="E164" s="3">
        <f t="shared" si="17"/>
        <v>174413.52914627022</v>
      </c>
      <c r="F164" s="3">
        <f t="shared" si="14"/>
        <v>833.33333333333337</v>
      </c>
      <c r="G164" s="5">
        <f t="shared" si="18"/>
        <v>1913.529146270173</v>
      </c>
      <c r="H164" s="5">
        <v>0</v>
      </c>
      <c r="I164" s="5">
        <f t="shared" si="19"/>
        <v>1913.529146270173</v>
      </c>
      <c r="J164" s="5">
        <f t="shared" si="15"/>
        <v>172500.00000000003</v>
      </c>
      <c r="K164" s="2"/>
    </row>
    <row r="165" spans="1:11" x14ac:dyDescent="0.25">
      <c r="A165" s="8">
        <v>154</v>
      </c>
      <c r="B165" s="9">
        <v>49100</v>
      </c>
      <c r="C165" s="5">
        <f t="shared" si="20"/>
        <v>172500.00000000003</v>
      </c>
      <c r="D165" s="10">
        <f t="shared" si="16"/>
        <v>1075.0025638361817</v>
      </c>
      <c r="E165" s="3">
        <f t="shared" si="17"/>
        <v>173575.0025638362</v>
      </c>
      <c r="F165" s="3">
        <f t="shared" si="14"/>
        <v>833.33333333333337</v>
      </c>
      <c r="G165" s="5">
        <f t="shared" si="18"/>
        <v>1908.3358971695152</v>
      </c>
      <c r="H165" s="5">
        <v>0</v>
      </c>
      <c r="I165" s="5">
        <f t="shared" si="19"/>
        <v>1908.3358971695152</v>
      </c>
      <c r="J165" s="5">
        <f t="shared" si="15"/>
        <v>171666.66666666669</v>
      </c>
      <c r="K165" s="2"/>
    </row>
    <row r="166" spans="1:11" x14ac:dyDescent="0.25">
      <c r="A166" s="8">
        <v>155</v>
      </c>
      <c r="B166" s="9">
        <v>49130</v>
      </c>
      <c r="C166" s="5">
        <f t="shared" si="20"/>
        <v>171666.66666666669</v>
      </c>
      <c r="D166" s="10">
        <f t="shared" si="16"/>
        <v>1069.8093147355237</v>
      </c>
      <c r="E166" s="3">
        <f t="shared" si="17"/>
        <v>172736.47598140221</v>
      </c>
      <c r="F166" s="3">
        <f t="shared" si="14"/>
        <v>833.33333333333337</v>
      </c>
      <c r="G166" s="5">
        <f t="shared" si="18"/>
        <v>1903.1426480688569</v>
      </c>
      <c r="H166" s="5">
        <v>0</v>
      </c>
      <c r="I166" s="5">
        <f t="shared" si="19"/>
        <v>1903.1426480688569</v>
      </c>
      <c r="J166" s="5">
        <f t="shared" si="15"/>
        <v>170833.33333333334</v>
      </c>
      <c r="K166" s="2"/>
    </row>
    <row r="167" spans="1:11" x14ac:dyDescent="0.25">
      <c r="A167" s="8">
        <v>156</v>
      </c>
      <c r="B167" s="9">
        <v>49161</v>
      </c>
      <c r="C167" s="5">
        <f t="shared" si="20"/>
        <v>170833.33333333334</v>
      </c>
      <c r="D167" s="10">
        <f t="shared" si="16"/>
        <v>1064.6160656348659</v>
      </c>
      <c r="E167" s="3">
        <f t="shared" si="17"/>
        <v>171897.94939896822</v>
      </c>
      <c r="F167" s="3">
        <f t="shared" si="14"/>
        <v>833.33333333333337</v>
      </c>
      <c r="G167" s="5">
        <f t="shared" si="18"/>
        <v>1897.9493989681991</v>
      </c>
      <c r="H167" s="5">
        <v>0</v>
      </c>
      <c r="I167" s="5">
        <f t="shared" si="19"/>
        <v>1897.9493989681991</v>
      </c>
      <c r="J167" s="5">
        <f t="shared" si="15"/>
        <v>170000.00000000003</v>
      </c>
      <c r="K167" s="2"/>
    </row>
    <row r="168" spans="1:11" x14ac:dyDescent="0.25">
      <c r="A168" s="8">
        <v>157</v>
      </c>
      <c r="B168" s="9">
        <v>49192</v>
      </c>
      <c r="C168" s="5">
        <f t="shared" si="20"/>
        <v>170000.00000000003</v>
      </c>
      <c r="D168" s="10">
        <f t="shared" si="16"/>
        <v>1059.4228165342081</v>
      </c>
      <c r="E168" s="3">
        <f t="shared" si="17"/>
        <v>171059.42281653424</v>
      </c>
      <c r="F168" s="3">
        <f t="shared" si="14"/>
        <v>833.33333333333337</v>
      </c>
      <c r="G168" s="5">
        <f t="shared" si="18"/>
        <v>1892.7561498675414</v>
      </c>
      <c r="H168" s="5">
        <v>0</v>
      </c>
      <c r="I168" s="5">
        <f t="shared" si="19"/>
        <v>1892.7561498675414</v>
      </c>
      <c r="J168" s="5">
        <f t="shared" si="15"/>
        <v>169166.66666666669</v>
      </c>
      <c r="K168" s="2"/>
    </row>
    <row r="169" spans="1:11" x14ac:dyDescent="0.25">
      <c r="A169" s="8">
        <v>158</v>
      </c>
      <c r="B169" s="9">
        <v>49222</v>
      </c>
      <c r="C169" s="5">
        <f t="shared" si="20"/>
        <v>169166.66666666669</v>
      </c>
      <c r="D169" s="10">
        <f t="shared" si="16"/>
        <v>1054.2295674335501</v>
      </c>
      <c r="E169" s="3">
        <f t="shared" si="17"/>
        <v>170220.89623410025</v>
      </c>
      <c r="F169" s="3">
        <f t="shared" si="14"/>
        <v>833.33333333333337</v>
      </c>
      <c r="G169" s="5">
        <f t="shared" si="18"/>
        <v>1887.5629007668836</v>
      </c>
      <c r="H169" s="5">
        <v>0</v>
      </c>
      <c r="I169" s="5">
        <f t="shared" si="19"/>
        <v>1887.5629007668836</v>
      </c>
      <c r="J169" s="5">
        <f t="shared" si="15"/>
        <v>168333.33333333337</v>
      </c>
      <c r="K169" s="2"/>
    </row>
    <row r="170" spans="1:11" x14ac:dyDescent="0.25">
      <c r="A170" s="8">
        <v>159</v>
      </c>
      <c r="B170" s="9">
        <v>49253</v>
      </c>
      <c r="C170" s="5">
        <f t="shared" si="20"/>
        <v>168333.33333333337</v>
      </c>
      <c r="D170" s="10">
        <f t="shared" si="16"/>
        <v>1049.0363183328923</v>
      </c>
      <c r="E170" s="3">
        <f t="shared" si="17"/>
        <v>169382.36965166626</v>
      </c>
      <c r="F170" s="3">
        <f t="shared" si="14"/>
        <v>833.33333333333337</v>
      </c>
      <c r="G170" s="5">
        <f t="shared" si="18"/>
        <v>1882.3696516662258</v>
      </c>
      <c r="H170" s="5">
        <v>0</v>
      </c>
      <c r="I170" s="5">
        <f t="shared" si="19"/>
        <v>1882.3696516662258</v>
      </c>
      <c r="J170" s="5">
        <f t="shared" si="15"/>
        <v>167500.00000000003</v>
      </c>
      <c r="K170" s="2"/>
    </row>
    <row r="171" spans="1:11" x14ac:dyDescent="0.25">
      <c r="A171" s="8">
        <v>160</v>
      </c>
      <c r="B171" s="9">
        <v>49283</v>
      </c>
      <c r="C171" s="5">
        <f t="shared" si="20"/>
        <v>167500.00000000003</v>
      </c>
      <c r="D171" s="10">
        <f t="shared" si="16"/>
        <v>1043.8430692322345</v>
      </c>
      <c r="E171" s="3">
        <f t="shared" si="17"/>
        <v>168543.84306923227</v>
      </c>
      <c r="F171" s="3">
        <f t="shared" si="14"/>
        <v>833.33333333333337</v>
      </c>
      <c r="G171" s="5">
        <f t="shared" si="18"/>
        <v>1877.176402565568</v>
      </c>
      <c r="H171" s="5">
        <v>0</v>
      </c>
      <c r="I171" s="5">
        <f t="shared" si="19"/>
        <v>1877.176402565568</v>
      </c>
      <c r="J171" s="5">
        <f t="shared" si="15"/>
        <v>166666.66666666672</v>
      </c>
      <c r="K171" s="2"/>
    </row>
    <row r="172" spans="1:11" x14ac:dyDescent="0.25">
      <c r="A172" s="8">
        <v>161</v>
      </c>
      <c r="B172" s="9">
        <v>49314</v>
      </c>
      <c r="C172" s="5">
        <f t="shared" si="20"/>
        <v>166666.66666666672</v>
      </c>
      <c r="D172" s="10">
        <f t="shared" si="16"/>
        <v>1038.6498201315767</v>
      </c>
      <c r="E172" s="3">
        <f t="shared" si="17"/>
        <v>167705.31648679829</v>
      </c>
      <c r="F172" s="3">
        <f t="shared" si="14"/>
        <v>833.33333333333337</v>
      </c>
      <c r="G172" s="5">
        <f t="shared" si="18"/>
        <v>1871.9831534649102</v>
      </c>
      <c r="H172" s="5">
        <v>0</v>
      </c>
      <c r="I172" s="5">
        <f t="shared" si="19"/>
        <v>1871.9831534649102</v>
      </c>
      <c r="J172" s="5">
        <f t="shared" si="15"/>
        <v>165833.33333333337</v>
      </c>
      <c r="K172" s="2"/>
    </row>
    <row r="173" spans="1:11" x14ac:dyDescent="0.25">
      <c r="A173" s="8">
        <v>162</v>
      </c>
      <c r="B173" s="9">
        <v>49345</v>
      </c>
      <c r="C173" s="5">
        <f t="shared" si="20"/>
        <v>165833.33333333337</v>
      </c>
      <c r="D173" s="10">
        <f t="shared" si="16"/>
        <v>1033.4565710309187</v>
      </c>
      <c r="E173" s="3">
        <f t="shared" si="17"/>
        <v>166866.7899043643</v>
      </c>
      <c r="F173" s="3">
        <f t="shared" si="14"/>
        <v>833.33333333333337</v>
      </c>
      <c r="G173" s="5">
        <f t="shared" si="18"/>
        <v>1866.7899043642519</v>
      </c>
      <c r="H173" s="5">
        <v>0</v>
      </c>
      <c r="I173" s="5">
        <f t="shared" si="19"/>
        <v>1866.7899043642519</v>
      </c>
      <c r="J173" s="5">
        <f t="shared" si="15"/>
        <v>165000.00000000006</v>
      </c>
      <c r="K173" s="2"/>
    </row>
    <row r="174" spans="1:11" x14ac:dyDescent="0.25">
      <c r="A174" s="8">
        <v>163</v>
      </c>
      <c r="B174" s="9">
        <v>49373</v>
      </c>
      <c r="C174" s="5">
        <f t="shared" si="20"/>
        <v>165000.00000000006</v>
      </c>
      <c r="D174" s="10">
        <f t="shared" si="16"/>
        <v>1028.2633219302609</v>
      </c>
      <c r="E174" s="3">
        <f t="shared" si="17"/>
        <v>166028.26332193031</v>
      </c>
      <c r="F174" s="3">
        <f t="shared" si="14"/>
        <v>833.33333333333337</v>
      </c>
      <c r="G174" s="5">
        <f t="shared" si="18"/>
        <v>1861.5966552635941</v>
      </c>
      <c r="H174" s="5">
        <v>0</v>
      </c>
      <c r="I174" s="5">
        <f t="shared" si="19"/>
        <v>1861.5966552635941</v>
      </c>
      <c r="J174" s="5">
        <f t="shared" si="15"/>
        <v>164166.66666666672</v>
      </c>
      <c r="K174" s="2"/>
    </row>
    <row r="175" spans="1:11" x14ac:dyDescent="0.25">
      <c r="A175" s="8">
        <v>164</v>
      </c>
      <c r="B175" s="9">
        <v>49404</v>
      </c>
      <c r="C175" s="5">
        <f t="shared" si="20"/>
        <v>164166.66666666672</v>
      </c>
      <c r="D175" s="10">
        <f t="shared" si="16"/>
        <v>1023.070072829603</v>
      </c>
      <c r="E175" s="3">
        <f t="shared" si="17"/>
        <v>165189.73673949632</v>
      </c>
      <c r="F175" s="3">
        <f t="shared" si="14"/>
        <v>833.33333333333337</v>
      </c>
      <c r="G175" s="5">
        <f t="shared" si="18"/>
        <v>1856.4034061629363</v>
      </c>
      <c r="H175" s="5">
        <v>0</v>
      </c>
      <c r="I175" s="5">
        <f t="shared" si="19"/>
        <v>1856.4034061629363</v>
      </c>
      <c r="J175" s="5">
        <f t="shared" si="15"/>
        <v>163333.33333333337</v>
      </c>
      <c r="K175" s="2"/>
    </row>
    <row r="176" spans="1:11" x14ac:dyDescent="0.25">
      <c r="A176" s="8">
        <v>165</v>
      </c>
      <c r="B176" s="9">
        <v>49434</v>
      </c>
      <c r="C176" s="5">
        <f t="shared" si="20"/>
        <v>163333.33333333337</v>
      </c>
      <c r="D176" s="10">
        <f t="shared" si="16"/>
        <v>1017.8768237289451</v>
      </c>
      <c r="E176" s="3">
        <f t="shared" si="17"/>
        <v>164351.21015706231</v>
      </c>
      <c r="F176" s="3">
        <f t="shared" si="14"/>
        <v>833.33333333333337</v>
      </c>
      <c r="G176" s="5">
        <f t="shared" si="18"/>
        <v>1851.2101570622785</v>
      </c>
      <c r="H176" s="5">
        <v>0</v>
      </c>
      <c r="I176" s="5">
        <f t="shared" si="19"/>
        <v>1851.2101570622785</v>
      </c>
      <c r="J176" s="5">
        <f t="shared" si="15"/>
        <v>162500.00000000003</v>
      </c>
      <c r="K176" s="2"/>
    </row>
    <row r="177" spans="1:11" x14ac:dyDescent="0.25">
      <c r="A177" s="8">
        <v>166</v>
      </c>
      <c r="B177" s="9">
        <v>49465</v>
      </c>
      <c r="C177" s="5">
        <f t="shared" si="20"/>
        <v>162500.00000000003</v>
      </c>
      <c r="D177" s="10">
        <f t="shared" si="16"/>
        <v>1012.6835746282871</v>
      </c>
      <c r="E177" s="3">
        <f t="shared" si="17"/>
        <v>163512.68357462832</v>
      </c>
      <c r="F177" s="3">
        <f t="shared" si="14"/>
        <v>833.33333333333337</v>
      </c>
      <c r="G177" s="5">
        <f t="shared" si="18"/>
        <v>1846.0169079616205</v>
      </c>
      <c r="H177" s="5">
        <v>0</v>
      </c>
      <c r="I177" s="5">
        <f t="shared" si="19"/>
        <v>1846.0169079616205</v>
      </c>
      <c r="J177" s="5">
        <f t="shared" si="15"/>
        <v>161666.66666666669</v>
      </c>
      <c r="K177" s="2"/>
    </row>
    <row r="178" spans="1:11" x14ac:dyDescent="0.25">
      <c r="A178" s="8">
        <v>167</v>
      </c>
      <c r="B178" s="9">
        <v>49495</v>
      </c>
      <c r="C178" s="5">
        <f t="shared" si="20"/>
        <v>161666.66666666669</v>
      </c>
      <c r="D178" s="10">
        <f t="shared" si="16"/>
        <v>1007.4903255276292</v>
      </c>
      <c r="E178" s="3">
        <f t="shared" si="17"/>
        <v>162674.1569921943</v>
      </c>
      <c r="F178" s="3">
        <f t="shared" si="14"/>
        <v>833.33333333333337</v>
      </c>
      <c r="G178" s="5">
        <f t="shared" si="18"/>
        <v>1840.8236588609625</v>
      </c>
      <c r="H178" s="5">
        <v>0</v>
      </c>
      <c r="I178" s="5">
        <f t="shared" si="19"/>
        <v>1840.8236588609625</v>
      </c>
      <c r="J178" s="5">
        <f t="shared" si="15"/>
        <v>160833.33333333334</v>
      </c>
      <c r="K178" s="2"/>
    </row>
    <row r="179" spans="1:11" x14ac:dyDescent="0.25">
      <c r="A179" s="8">
        <v>168</v>
      </c>
      <c r="B179" s="9">
        <v>49526</v>
      </c>
      <c r="C179" s="5">
        <f t="shared" si="20"/>
        <v>160833.33333333334</v>
      </c>
      <c r="D179" s="10">
        <f t="shared" si="16"/>
        <v>1002.2970764269712</v>
      </c>
      <c r="E179" s="3">
        <f t="shared" si="17"/>
        <v>161835.63040976031</v>
      </c>
      <c r="F179" s="3">
        <f t="shared" si="14"/>
        <v>833.33333333333337</v>
      </c>
      <c r="G179" s="5">
        <f t="shared" si="18"/>
        <v>1835.6304097603047</v>
      </c>
      <c r="H179" s="5">
        <v>0</v>
      </c>
      <c r="I179" s="5">
        <f t="shared" si="19"/>
        <v>1835.6304097603047</v>
      </c>
      <c r="J179" s="5">
        <f t="shared" si="15"/>
        <v>160000</v>
      </c>
      <c r="K179" s="2"/>
    </row>
    <row r="180" spans="1:11" x14ac:dyDescent="0.25">
      <c r="A180" s="8">
        <v>169</v>
      </c>
      <c r="B180" s="9">
        <v>49557</v>
      </c>
      <c r="C180" s="5">
        <f t="shared" si="20"/>
        <v>160000</v>
      </c>
      <c r="D180" s="10">
        <f t="shared" si="16"/>
        <v>997.10382732631331</v>
      </c>
      <c r="E180" s="3">
        <f t="shared" si="17"/>
        <v>160997.10382732633</v>
      </c>
      <c r="F180" s="3">
        <f t="shared" si="14"/>
        <v>833.33333333333337</v>
      </c>
      <c r="G180" s="5">
        <f t="shared" si="18"/>
        <v>1830.4371606596467</v>
      </c>
      <c r="H180" s="5">
        <v>0</v>
      </c>
      <c r="I180" s="5">
        <f t="shared" si="19"/>
        <v>1830.4371606596467</v>
      </c>
      <c r="J180" s="5">
        <f t="shared" si="15"/>
        <v>159166.66666666669</v>
      </c>
      <c r="K180" s="2"/>
    </row>
    <row r="181" spans="1:11" x14ac:dyDescent="0.25">
      <c r="A181" s="8">
        <v>170</v>
      </c>
      <c r="B181" s="9">
        <v>49587</v>
      </c>
      <c r="C181" s="5">
        <f t="shared" si="20"/>
        <v>159166.66666666669</v>
      </c>
      <c r="D181" s="10">
        <f t="shared" si="16"/>
        <v>991.91057822565551</v>
      </c>
      <c r="E181" s="3">
        <f t="shared" si="17"/>
        <v>160158.57724489234</v>
      </c>
      <c r="F181" s="3">
        <f t="shared" si="14"/>
        <v>833.33333333333337</v>
      </c>
      <c r="G181" s="5">
        <f t="shared" si="18"/>
        <v>1825.2439115589889</v>
      </c>
      <c r="H181" s="5">
        <v>0</v>
      </c>
      <c r="I181" s="5">
        <f t="shared" si="19"/>
        <v>1825.2439115589889</v>
      </c>
      <c r="J181" s="5">
        <f t="shared" si="15"/>
        <v>158333.33333333334</v>
      </c>
      <c r="K181" s="2"/>
    </row>
    <row r="182" spans="1:11" x14ac:dyDescent="0.25">
      <c r="A182" s="8">
        <v>171</v>
      </c>
      <c r="B182" s="9">
        <v>49618</v>
      </c>
      <c r="C182" s="5">
        <f t="shared" si="20"/>
        <v>158333.33333333334</v>
      </c>
      <c r="D182" s="10">
        <f t="shared" si="16"/>
        <v>986.7173291249976</v>
      </c>
      <c r="E182" s="3">
        <f t="shared" si="17"/>
        <v>159320.05066245835</v>
      </c>
      <c r="F182" s="3">
        <f t="shared" si="14"/>
        <v>833.33333333333337</v>
      </c>
      <c r="G182" s="5">
        <f t="shared" si="18"/>
        <v>1820.0506624583309</v>
      </c>
      <c r="H182" s="5">
        <v>0</v>
      </c>
      <c r="I182" s="5">
        <f t="shared" si="19"/>
        <v>1820.0506624583309</v>
      </c>
      <c r="J182" s="5">
        <f t="shared" si="15"/>
        <v>157500.00000000003</v>
      </c>
      <c r="K182" s="2"/>
    </row>
    <row r="183" spans="1:11" x14ac:dyDescent="0.25">
      <c r="A183" s="8">
        <v>172</v>
      </c>
      <c r="B183" s="9">
        <v>49648</v>
      </c>
      <c r="C183" s="5">
        <f t="shared" si="20"/>
        <v>157500.00000000003</v>
      </c>
      <c r="D183" s="10">
        <f t="shared" si="16"/>
        <v>981.52408002433981</v>
      </c>
      <c r="E183" s="3">
        <f t="shared" si="17"/>
        <v>158481.52408002436</v>
      </c>
      <c r="F183" s="3">
        <f t="shared" si="14"/>
        <v>833.33333333333337</v>
      </c>
      <c r="G183" s="5">
        <f t="shared" si="18"/>
        <v>1814.8574133576731</v>
      </c>
      <c r="H183" s="5">
        <v>0</v>
      </c>
      <c r="I183" s="5">
        <f t="shared" si="19"/>
        <v>1814.8574133576731</v>
      </c>
      <c r="J183" s="5">
        <f t="shared" si="15"/>
        <v>156666.66666666669</v>
      </c>
      <c r="K183" s="2"/>
    </row>
    <row r="184" spans="1:11" x14ac:dyDescent="0.25">
      <c r="A184" s="8">
        <v>173</v>
      </c>
      <c r="B184" s="9">
        <v>49679</v>
      </c>
      <c r="C184" s="5">
        <f t="shared" si="20"/>
        <v>156666.66666666669</v>
      </c>
      <c r="D184" s="10">
        <f t="shared" si="16"/>
        <v>976.3308309236819</v>
      </c>
      <c r="E184" s="3">
        <f t="shared" si="17"/>
        <v>157642.99749759038</v>
      </c>
      <c r="F184" s="3">
        <f t="shared" si="14"/>
        <v>833.33333333333337</v>
      </c>
      <c r="G184" s="5">
        <f t="shared" si="18"/>
        <v>1809.6641642570153</v>
      </c>
      <c r="H184" s="5">
        <v>0</v>
      </c>
      <c r="I184" s="5">
        <f t="shared" si="19"/>
        <v>1809.6641642570153</v>
      </c>
      <c r="J184" s="5">
        <f t="shared" si="15"/>
        <v>155833.33333333337</v>
      </c>
      <c r="K184" s="2"/>
    </row>
    <row r="185" spans="1:11" x14ac:dyDescent="0.25">
      <c r="A185" s="8">
        <v>174</v>
      </c>
      <c r="B185" s="9">
        <v>49710</v>
      </c>
      <c r="C185" s="5">
        <f t="shared" si="20"/>
        <v>155833.33333333337</v>
      </c>
      <c r="D185" s="10">
        <f t="shared" si="16"/>
        <v>971.13758182302411</v>
      </c>
      <c r="E185" s="3">
        <f t="shared" si="17"/>
        <v>156804.47091515639</v>
      </c>
      <c r="F185" s="3">
        <f t="shared" si="14"/>
        <v>833.33333333333337</v>
      </c>
      <c r="G185" s="5">
        <f t="shared" si="18"/>
        <v>1804.4709151563575</v>
      </c>
      <c r="H185" s="5">
        <v>0</v>
      </c>
      <c r="I185" s="5">
        <f t="shared" si="19"/>
        <v>1804.4709151563575</v>
      </c>
      <c r="J185" s="5">
        <f t="shared" si="15"/>
        <v>155000.00000000003</v>
      </c>
      <c r="K185" s="2"/>
    </row>
    <row r="186" spans="1:11" x14ac:dyDescent="0.25">
      <c r="A186" s="8">
        <v>175</v>
      </c>
      <c r="B186" s="9">
        <v>49739</v>
      </c>
      <c r="C186" s="5">
        <f t="shared" si="20"/>
        <v>155000.00000000003</v>
      </c>
      <c r="D186" s="10">
        <f t="shared" si="16"/>
        <v>965.9443327223662</v>
      </c>
      <c r="E186" s="3">
        <f t="shared" si="17"/>
        <v>155965.9443327224</v>
      </c>
      <c r="F186" s="3">
        <f t="shared" si="14"/>
        <v>833.33333333333337</v>
      </c>
      <c r="G186" s="5">
        <f t="shared" si="18"/>
        <v>1799.2776660556997</v>
      </c>
      <c r="H186" s="5">
        <v>0</v>
      </c>
      <c r="I186" s="5">
        <f t="shared" si="19"/>
        <v>1799.2776660556997</v>
      </c>
      <c r="J186" s="5">
        <f t="shared" si="15"/>
        <v>154166.66666666669</v>
      </c>
      <c r="K186" s="2"/>
    </row>
    <row r="187" spans="1:11" x14ac:dyDescent="0.25">
      <c r="A187" s="8">
        <v>176</v>
      </c>
      <c r="B187" s="9">
        <v>49770</v>
      </c>
      <c r="C187" s="5">
        <f t="shared" si="20"/>
        <v>154166.66666666669</v>
      </c>
      <c r="D187" s="10">
        <f t="shared" si="16"/>
        <v>960.75108362170829</v>
      </c>
      <c r="E187" s="3">
        <f t="shared" si="17"/>
        <v>155127.41775028838</v>
      </c>
      <c r="F187" s="3">
        <f t="shared" si="14"/>
        <v>833.33333333333337</v>
      </c>
      <c r="G187" s="5">
        <f t="shared" si="18"/>
        <v>1794.0844169550417</v>
      </c>
      <c r="H187" s="5">
        <v>0</v>
      </c>
      <c r="I187" s="5">
        <f t="shared" si="19"/>
        <v>1794.0844169550417</v>
      </c>
      <c r="J187" s="5">
        <f t="shared" si="15"/>
        <v>153333.33333333334</v>
      </c>
      <c r="K187" s="2"/>
    </row>
    <row r="188" spans="1:11" x14ac:dyDescent="0.25">
      <c r="A188" s="8">
        <v>177</v>
      </c>
      <c r="B188" s="9">
        <v>49800</v>
      </c>
      <c r="C188" s="5">
        <f t="shared" si="20"/>
        <v>153333.33333333334</v>
      </c>
      <c r="D188" s="10">
        <f t="shared" si="16"/>
        <v>955.55783452105027</v>
      </c>
      <c r="E188" s="3">
        <f t="shared" si="17"/>
        <v>154288.8911678544</v>
      </c>
      <c r="F188" s="3">
        <f t="shared" si="14"/>
        <v>833.33333333333337</v>
      </c>
      <c r="G188" s="5">
        <f t="shared" si="18"/>
        <v>1788.8911678543836</v>
      </c>
      <c r="H188" s="5">
        <v>0</v>
      </c>
      <c r="I188" s="5">
        <f t="shared" si="19"/>
        <v>1788.8911678543836</v>
      </c>
      <c r="J188" s="5">
        <f t="shared" si="15"/>
        <v>152500</v>
      </c>
      <c r="K188" s="2"/>
    </row>
    <row r="189" spans="1:11" x14ac:dyDescent="0.25">
      <c r="A189" s="8">
        <v>178</v>
      </c>
      <c r="B189" s="9">
        <v>49831</v>
      </c>
      <c r="C189" s="5">
        <f t="shared" si="20"/>
        <v>152500</v>
      </c>
      <c r="D189" s="10">
        <f t="shared" si="16"/>
        <v>950.36458542039236</v>
      </c>
      <c r="E189" s="3">
        <f t="shared" si="17"/>
        <v>153450.36458542038</v>
      </c>
      <c r="F189" s="3">
        <f t="shared" si="14"/>
        <v>833.33333333333337</v>
      </c>
      <c r="G189" s="5">
        <f t="shared" si="18"/>
        <v>1783.6979187537258</v>
      </c>
      <c r="H189" s="5">
        <v>0</v>
      </c>
      <c r="I189" s="5">
        <f t="shared" si="19"/>
        <v>1783.6979187537258</v>
      </c>
      <c r="J189" s="5">
        <f t="shared" si="15"/>
        <v>151666.66666666666</v>
      </c>
      <c r="K189" s="2"/>
    </row>
    <row r="190" spans="1:11" x14ac:dyDescent="0.25">
      <c r="A190" s="8">
        <v>179</v>
      </c>
      <c r="B190" s="9">
        <v>49861</v>
      </c>
      <c r="C190" s="5">
        <f t="shared" si="20"/>
        <v>151666.66666666666</v>
      </c>
      <c r="D190" s="10">
        <f t="shared" si="16"/>
        <v>945.17133631973445</v>
      </c>
      <c r="E190" s="3">
        <f t="shared" si="17"/>
        <v>152611.83800298639</v>
      </c>
      <c r="F190" s="3">
        <f t="shared" si="14"/>
        <v>833.33333333333337</v>
      </c>
      <c r="G190" s="5">
        <f t="shared" si="18"/>
        <v>1778.5046696530678</v>
      </c>
      <c r="H190" s="5">
        <v>0</v>
      </c>
      <c r="I190" s="5">
        <f t="shared" si="19"/>
        <v>1778.5046696530678</v>
      </c>
      <c r="J190" s="5">
        <f t="shared" si="15"/>
        <v>150833.33333333331</v>
      </c>
      <c r="K190" s="2"/>
    </row>
    <row r="191" spans="1:11" x14ac:dyDescent="0.25">
      <c r="A191" s="8">
        <v>180</v>
      </c>
      <c r="B191" s="9">
        <v>49892</v>
      </c>
      <c r="C191" s="5">
        <f t="shared" si="20"/>
        <v>150833.33333333331</v>
      </c>
      <c r="D191" s="10">
        <f t="shared" si="16"/>
        <v>939.97808721907654</v>
      </c>
      <c r="E191" s="3">
        <f t="shared" si="17"/>
        <v>151773.3114205524</v>
      </c>
      <c r="F191" s="3">
        <f t="shared" si="14"/>
        <v>833.33333333333337</v>
      </c>
      <c r="G191" s="5">
        <f t="shared" si="18"/>
        <v>1773.3114205524098</v>
      </c>
      <c r="H191" s="5">
        <v>0</v>
      </c>
      <c r="I191" s="5">
        <f t="shared" si="19"/>
        <v>1773.3114205524098</v>
      </c>
      <c r="J191" s="5">
        <f t="shared" si="15"/>
        <v>150000</v>
      </c>
      <c r="K191" s="2"/>
    </row>
    <row r="192" spans="1:11" x14ac:dyDescent="0.25">
      <c r="A192" s="8">
        <v>181</v>
      </c>
      <c r="B192" s="9">
        <v>49923</v>
      </c>
      <c r="C192" s="5">
        <f t="shared" si="20"/>
        <v>150000</v>
      </c>
      <c r="D192" s="10">
        <f t="shared" si="16"/>
        <v>934.78483811841875</v>
      </c>
      <c r="E192" s="3">
        <f t="shared" si="17"/>
        <v>150934.78483811842</v>
      </c>
      <c r="F192" s="3">
        <f t="shared" si="14"/>
        <v>833.33333333333337</v>
      </c>
      <c r="G192" s="5">
        <f t="shared" si="18"/>
        <v>1768.118171451752</v>
      </c>
      <c r="H192" s="5">
        <v>0</v>
      </c>
      <c r="I192" s="5">
        <f t="shared" si="19"/>
        <v>1768.118171451752</v>
      </c>
      <c r="J192" s="5">
        <f t="shared" si="15"/>
        <v>149166.66666666666</v>
      </c>
      <c r="K192" s="2"/>
    </row>
    <row r="193" spans="1:11" x14ac:dyDescent="0.25">
      <c r="A193" s="8">
        <v>182</v>
      </c>
      <c r="B193" s="9">
        <v>49953</v>
      </c>
      <c r="C193" s="5">
        <f t="shared" si="20"/>
        <v>149166.66666666666</v>
      </c>
      <c r="D193" s="10">
        <f t="shared" si="16"/>
        <v>929.59158901776084</v>
      </c>
      <c r="E193" s="3">
        <f t="shared" si="17"/>
        <v>150096.25825568443</v>
      </c>
      <c r="F193" s="3">
        <f t="shared" si="14"/>
        <v>833.33333333333337</v>
      </c>
      <c r="G193" s="5">
        <f t="shared" si="18"/>
        <v>1762.9249223510942</v>
      </c>
      <c r="H193" s="5">
        <v>0</v>
      </c>
      <c r="I193" s="5">
        <f t="shared" si="19"/>
        <v>1762.9249223510942</v>
      </c>
      <c r="J193" s="5">
        <f t="shared" si="15"/>
        <v>148333.33333333334</v>
      </c>
      <c r="K193" s="2"/>
    </row>
    <row r="194" spans="1:11" x14ac:dyDescent="0.25">
      <c r="A194" s="8">
        <v>183</v>
      </c>
      <c r="B194" s="9">
        <v>49984</v>
      </c>
      <c r="C194" s="5">
        <f t="shared" si="20"/>
        <v>148333.33333333334</v>
      </c>
      <c r="D194" s="10">
        <f t="shared" si="16"/>
        <v>924.39833991710304</v>
      </c>
      <c r="E194" s="3">
        <f t="shared" si="17"/>
        <v>149257.73167325044</v>
      </c>
      <c r="F194" s="3">
        <f t="shared" si="14"/>
        <v>833.33333333333337</v>
      </c>
      <c r="G194" s="5">
        <f t="shared" si="18"/>
        <v>1757.7316732504364</v>
      </c>
      <c r="H194" s="5">
        <v>0</v>
      </c>
      <c r="I194" s="5">
        <f t="shared" si="19"/>
        <v>1757.7316732504364</v>
      </c>
      <c r="J194" s="5">
        <f t="shared" si="15"/>
        <v>147500</v>
      </c>
      <c r="K194" s="2"/>
    </row>
    <row r="195" spans="1:11" x14ac:dyDescent="0.25">
      <c r="A195" s="8">
        <v>184</v>
      </c>
      <c r="B195" s="9">
        <v>50014</v>
      </c>
      <c r="C195" s="5">
        <f t="shared" si="20"/>
        <v>147500</v>
      </c>
      <c r="D195" s="10">
        <f t="shared" si="16"/>
        <v>919.20509081644514</v>
      </c>
      <c r="E195" s="3">
        <f t="shared" si="17"/>
        <v>148419.20509081645</v>
      </c>
      <c r="F195" s="3">
        <f t="shared" si="14"/>
        <v>833.33333333333337</v>
      </c>
      <c r="G195" s="5">
        <f t="shared" si="18"/>
        <v>1752.5384241497786</v>
      </c>
      <c r="H195" s="5">
        <v>0</v>
      </c>
      <c r="I195" s="5">
        <f t="shared" si="19"/>
        <v>1752.5384241497786</v>
      </c>
      <c r="J195" s="5">
        <f t="shared" si="15"/>
        <v>146666.66666666669</v>
      </c>
      <c r="K195" s="2"/>
    </row>
    <row r="196" spans="1:11" x14ac:dyDescent="0.25">
      <c r="A196" s="8">
        <v>185</v>
      </c>
      <c r="B196" s="9">
        <v>50045</v>
      </c>
      <c r="C196" s="5">
        <f t="shared" si="20"/>
        <v>146666.66666666669</v>
      </c>
      <c r="D196" s="10">
        <f t="shared" si="16"/>
        <v>914.01184171578734</v>
      </c>
      <c r="E196" s="3">
        <f t="shared" si="17"/>
        <v>147580.67850838247</v>
      </c>
      <c r="F196" s="3">
        <f t="shared" si="14"/>
        <v>833.33333333333337</v>
      </c>
      <c r="G196" s="5">
        <f t="shared" si="18"/>
        <v>1747.3451750491208</v>
      </c>
      <c r="H196" s="5">
        <v>0</v>
      </c>
      <c r="I196" s="5">
        <f t="shared" si="19"/>
        <v>1747.3451750491208</v>
      </c>
      <c r="J196" s="5">
        <f t="shared" si="15"/>
        <v>145833.33333333334</v>
      </c>
      <c r="K196" s="2"/>
    </row>
    <row r="197" spans="1:11" x14ac:dyDescent="0.25">
      <c r="A197" s="8">
        <v>186</v>
      </c>
      <c r="B197" s="9">
        <v>50076</v>
      </c>
      <c r="C197" s="5">
        <f t="shared" si="20"/>
        <v>145833.33333333334</v>
      </c>
      <c r="D197" s="10">
        <f t="shared" si="16"/>
        <v>908.81859261512943</v>
      </c>
      <c r="E197" s="3">
        <f t="shared" si="17"/>
        <v>146742.15192594848</v>
      </c>
      <c r="F197" s="3">
        <f t="shared" si="14"/>
        <v>833.33333333333337</v>
      </c>
      <c r="G197" s="5">
        <f t="shared" si="18"/>
        <v>1742.1519259484628</v>
      </c>
      <c r="H197" s="5">
        <v>0</v>
      </c>
      <c r="I197" s="5">
        <f t="shared" si="19"/>
        <v>1742.1519259484628</v>
      </c>
      <c r="J197" s="5">
        <f t="shared" si="15"/>
        <v>145000.00000000003</v>
      </c>
      <c r="K197" s="2"/>
    </row>
    <row r="198" spans="1:11" x14ac:dyDescent="0.25">
      <c r="A198" s="8">
        <v>187</v>
      </c>
      <c r="B198" s="9">
        <v>50104</v>
      </c>
      <c r="C198" s="5">
        <f t="shared" si="20"/>
        <v>145000.00000000003</v>
      </c>
      <c r="D198" s="10">
        <f t="shared" si="16"/>
        <v>903.62534351447164</v>
      </c>
      <c r="E198" s="3">
        <f t="shared" si="17"/>
        <v>145903.62534351449</v>
      </c>
      <c r="F198" s="3">
        <f t="shared" si="14"/>
        <v>833.33333333333337</v>
      </c>
      <c r="G198" s="5">
        <f t="shared" si="18"/>
        <v>1736.958676847805</v>
      </c>
      <c r="H198" s="5">
        <v>0</v>
      </c>
      <c r="I198" s="5">
        <f t="shared" si="19"/>
        <v>1736.958676847805</v>
      </c>
      <c r="J198" s="5">
        <f t="shared" si="15"/>
        <v>144166.66666666669</v>
      </c>
      <c r="K198" s="2"/>
    </row>
    <row r="199" spans="1:11" x14ac:dyDescent="0.25">
      <c r="A199" s="8">
        <v>188</v>
      </c>
      <c r="B199" s="9">
        <v>50135</v>
      </c>
      <c r="C199" s="5">
        <f t="shared" si="20"/>
        <v>144166.66666666669</v>
      </c>
      <c r="D199" s="10">
        <f t="shared" si="16"/>
        <v>898.43209441381373</v>
      </c>
      <c r="E199" s="3">
        <f t="shared" si="17"/>
        <v>145065.0987610805</v>
      </c>
      <c r="F199" s="3">
        <f t="shared" si="14"/>
        <v>833.33333333333337</v>
      </c>
      <c r="G199" s="5">
        <f t="shared" si="18"/>
        <v>1731.765427747147</v>
      </c>
      <c r="H199" s="5">
        <v>0</v>
      </c>
      <c r="I199" s="5">
        <f t="shared" si="19"/>
        <v>1731.765427747147</v>
      </c>
      <c r="J199" s="5">
        <f t="shared" si="15"/>
        <v>143333.33333333334</v>
      </c>
      <c r="K199" s="2"/>
    </row>
    <row r="200" spans="1:11" x14ac:dyDescent="0.25">
      <c r="A200" s="8">
        <v>189</v>
      </c>
      <c r="B200" s="9">
        <v>50165</v>
      </c>
      <c r="C200" s="5">
        <f t="shared" si="20"/>
        <v>143333.33333333334</v>
      </c>
      <c r="D200" s="10">
        <f t="shared" si="16"/>
        <v>893.23884531315571</v>
      </c>
      <c r="E200" s="3">
        <f t="shared" si="17"/>
        <v>144226.57217864649</v>
      </c>
      <c r="F200" s="3">
        <f t="shared" si="14"/>
        <v>833.33333333333337</v>
      </c>
      <c r="G200" s="5">
        <f t="shared" si="18"/>
        <v>1726.5721786464892</v>
      </c>
      <c r="H200" s="5">
        <v>0</v>
      </c>
      <c r="I200" s="5">
        <f t="shared" si="19"/>
        <v>1726.5721786464892</v>
      </c>
      <c r="J200" s="5">
        <f t="shared" si="15"/>
        <v>142500</v>
      </c>
      <c r="K200" s="2"/>
    </row>
    <row r="201" spans="1:11" x14ac:dyDescent="0.25">
      <c r="A201" s="8">
        <v>190</v>
      </c>
      <c r="B201" s="9">
        <v>50196</v>
      </c>
      <c r="C201" s="5">
        <f t="shared" si="20"/>
        <v>142500</v>
      </c>
      <c r="D201" s="10">
        <f t="shared" si="16"/>
        <v>888.0455962124978</v>
      </c>
      <c r="E201" s="3">
        <f t="shared" si="17"/>
        <v>143388.0455962125</v>
      </c>
      <c r="F201" s="3">
        <f t="shared" si="14"/>
        <v>833.33333333333337</v>
      </c>
      <c r="G201" s="5">
        <f t="shared" si="18"/>
        <v>1721.3789295458312</v>
      </c>
      <c r="H201" s="5">
        <v>0</v>
      </c>
      <c r="I201" s="5">
        <f t="shared" si="19"/>
        <v>1721.3789295458312</v>
      </c>
      <c r="J201" s="5">
        <f t="shared" si="15"/>
        <v>141666.66666666666</v>
      </c>
      <c r="K201" s="2"/>
    </row>
    <row r="202" spans="1:11" x14ac:dyDescent="0.25">
      <c r="A202" s="8">
        <v>191</v>
      </c>
      <c r="B202" s="9">
        <v>50226</v>
      </c>
      <c r="C202" s="5">
        <f t="shared" si="20"/>
        <v>141666.66666666666</v>
      </c>
      <c r="D202" s="10">
        <f t="shared" si="16"/>
        <v>882.85234711183989</v>
      </c>
      <c r="E202" s="3">
        <f t="shared" si="17"/>
        <v>142549.51901377851</v>
      </c>
      <c r="F202" s="3">
        <f t="shared" si="14"/>
        <v>833.33333333333337</v>
      </c>
      <c r="G202" s="5">
        <f t="shared" si="18"/>
        <v>1716.1856804451731</v>
      </c>
      <c r="H202" s="5">
        <v>0</v>
      </c>
      <c r="I202" s="5">
        <f t="shared" si="19"/>
        <v>1716.1856804451731</v>
      </c>
      <c r="J202" s="5">
        <f t="shared" si="15"/>
        <v>140833.33333333334</v>
      </c>
      <c r="K202" s="2"/>
    </row>
    <row r="203" spans="1:11" x14ac:dyDescent="0.25">
      <c r="A203" s="8">
        <v>192</v>
      </c>
      <c r="B203" s="9">
        <v>50257</v>
      </c>
      <c r="C203" s="5">
        <f t="shared" si="20"/>
        <v>140833.33333333334</v>
      </c>
      <c r="D203" s="10">
        <f t="shared" si="16"/>
        <v>877.6590980111821</v>
      </c>
      <c r="E203" s="3">
        <f t="shared" si="17"/>
        <v>141710.99243134452</v>
      </c>
      <c r="F203" s="3">
        <f t="shared" si="14"/>
        <v>833.33333333333337</v>
      </c>
      <c r="G203" s="5">
        <f t="shared" si="18"/>
        <v>1710.9924313445154</v>
      </c>
      <c r="H203" s="5">
        <v>0</v>
      </c>
      <c r="I203" s="5">
        <f t="shared" si="19"/>
        <v>1710.9924313445154</v>
      </c>
      <c r="J203" s="5">
        <f t="shared" si="15"/>
        <v>140000</v>
      </c>
      <c r="K203" s="2"/>
    </row>
    <row r="204" spans="1:11" x14ac:dyDescent="0.25">
      <c r="A204" s="8">
        <v>193</v>
      </c>
      <c r="B204" s="9">
        <v>50288</v>
      </c>
      <c r="C204" s="5">
        <f t="shared" si="20"/>
        <v>140000</v>
      </c>
      <c r="D204" s="10">
        <f t="shared" si="16"/>
        <v>872.46584891052419</v>
      </c>
      <c r="E204" s="3">
        <f t="shared" si="17"/>
        <v>140872.46584891053</v>
      </c>
      <c r="F204" s="3">
        <f t="shared" ref="F204:F267" si="21">$C$4/$C$8</f>
        <v>833.33333333333337</v>
      </c>
      <c r="G204" s="5">
        <f t="shared" si="18"/>
        <v>1705.7991822438576</v>
      </c>
      <c r="H204" s="5">
        <v>0</v>
      </c>
      <c r="I204" s="5">
        <f t="shared" si="19"/>
        <v>1705.7991822438576</v>
      </c>
      <c r="J204" s="5">
        <f t="shared" ref="J204:J267" si="22">E204-I204</f>
        <v>139166.66666666669</v>
      </c>
      <c r="K204" s="2"/>
    </row>
    <row r="205" spans="1:11" x14ac:dyDescent="0.25">
      <c r="A205" s="8">
        <v>194</v>
      </c>
      <c r="B205" s="9">
        <v>50318</v>
      </c>
      <c r="C205" s="5">
        <f t="shared" si="20"/>
        <v>139166.66666666669</v>
      </c>
      <c r="D205" s="10">
        <f t="shared" ref="D205:D268" si="23">C205*$C$6</f>
        <v>867.27259980986639</v>
      </c>
      <c r="E205" s="3">
        <f t="shared" ref="E205:E268" si="24">C205+D205</f>
        <v>140033.93926647655</v>
      </c>
      <c r="F205" s="3">
        <f t="shared" si="21"/>
        <v>833.33333333333337</v>
      </c>
      <c r="G205" s="5">
        <f t="shared" ref="G205:G268" si="25">F205+D205</f>
        <v>1700.6059331431998</v>
      </c>
      <c r="H205" s="5">
        <v>0</v>
      </c>
      <c r="I205" s="5">
        <f t="shared" ref="I205:I268" si="26">H205+G205</f>
        <v>1700.6059331431998</v>
      </c>
      <c r="J205" s="5">
        <f t="shared" si="22"/>
        <v>138333.33333333334</v>
      </c>
      <c r="K205" s="2"/>
    </row>
    <row r="206" spans="1:11" x14ac:dyDescent="0.25">
      <c r="A206" s="8">
        <v>195</v>
      </c>
      <c r="B206" s="9">
        <v>50349</v>
      </c>
      <c r="C206" s="5">
        <f t="shared" ref="C206:C269" si="27">J205</f>
        <v>138333.33333333334</v>
      </c>
      <c r="D206" s="10">
        <f t="shared" si="23"/>
        <v>862.07935070920848</v>
      </c>
      <c r="E206" s="3">
        <f t="shared" si="24"/>
        <v>139195.41268404256</v>
      </c>
      <c r="F206" s="3">
        <f t="shared" si="21"/>
        <v>833.33333333333337</v>
      </c>
      <c r="G206" s="5">
        <f t="shared" si="25"/>
        <v>1695.412684042542</v>
      </c>
      <c r="H206" s="5">
        <v>0</v>
      </c>
      <c r="I206" s="5">
        <f t="shared" si="26"/>
        <v>1695.412684042542</v>
      </c>
      <c r="J206" s="5">
        <f t="shared" si="22"/>
        <v>137500.00000000003</v>
      </c>
      <c r="K206" s="2"/>
    </row>
    <row r="207" spans="1:11" x14ac:dyDescent="0.25">
      <c r="A207" s="8">
        <v>196</v>
      </c>
      <c r="B207" s="9">
        <v>50379</v>
      </c>
      <c r="C207" s="5">
        <f t="shared" si="27"/>
        <v>137500.00000000003</v>
      </c>
      <c r="D207" s="10">
        <f t="shared" si="23"/>
        <v>856.88610160855069</v>
      </c>
      <c r="E207" s="3">
        <f t="shared" si="24"/>
        <v>138356.88610160857</v>
      </c>
      <c r="F207" s="3">
        <f t="shared" si="21"/>
        <v>833.33333333333337</v>
      </c>
      <c r="G207" s="5">
        <f t="shared" si="25"/>
        <v>1690.2194349418842</v>
      </c>
      <c r="H207" s="5">
        <v>0</v>
      </c>
      <c r="I207" s="5">
        <f t="shared" si="26"/>
        <v>1690.2194349418842</v>
      </c>
      <c r="J207" s="5">
        <f t="shared" si="22"/>
        <v>136666.66666666669</v>
      </c>
      <c r="K207" s="2"/>
    </row>
    <row r="208" spans="1:11" x14ac:dyDescent="0.25">
      <c r="A208" s="8">
        <v>197</v>
      </c>
      <c r="B208" s="9">
        <v>50410</v>
      </c>
      <c r="C208" s="5">
        <f t="shared" si="27"/>
        <v>136666.66666666669</v>
      </c>
      <c r="D208" s="10">
        <f t="shared" si="23"/>
        <v>851.69285250789278</v>
      </c>
      <c r="E208" s="3">
        <f t="shared" si="24"/>
        <v>137518.35951917458</v>
      </c>
      <c r="F208" s="3">
        <f t="shared" si="21"/>
        <v>833.33333333333337</v>
      </c>
      <c r="G208" s="5">
        <f t="shared" si="25"/>
        <v>1685.0261858412262</v>
      </c>
      <c r="H208" s="5">
        <v>0</v>
      </c>
      <c r="I208" s="5">
        <f t="shared" si="26"/>
        <v>1685.0261858412262</v>
      </c>
      <c r="J208" s="5">
        <f t="shared" si="22"/>
        <v>135833.33333333337</v>
      </c>
      <c r="K208" s="2"/>
    </row>
    <row r="209" spans="1:11" x14ac:dyDescent="0.25">
      <c r="A209" s="8">
        <v>198</v>
      </c>
      <c r="B209" s="9">
        <v>50441</v>
      </c>
      <c r="C209" s="5">
        <f t="shared" si="27"/>
        <v>135833.33333333337</v>
      </c>
      <c r="D209" s="10">
        <f t="shared" si="23"/>
        <v>846.49960340723499</v>
      </c>
      <c r="E209" s="3">
        <f t="shared" si="24"/>
        <v>136679.8329367406</v>
      </c>
      <c r="F209" s="3">
        <f t="shared" si="21"/>
        <v>833.33333333333337</v>
      </c>
      <c r="G209" s="5">
        <f t="shared" si="25"/>
        <v>1679.8329367405684</v>
      </c>
      <c r="H209" s="5">
        <v>0</v>
      </c>
      <c r="I209" s="5">
        <f t="shared" si="26"/>
        <v>1679.8329367405684</v>
      </c>
      <c r="J209" s="5">
        <f t="shared" si="22"/>
        <v>135000.00000000003</v>
      </c>
      <c r="K209" s="2"/>
    </row>
    <row r="210" spans="1:11" x14ac:dyDescent="0.25">
      <c r="A210" s="8">
        <v>199</v>
      </c>
      <c r="B210" s="9">
        <v>50469</v>
      </c>
      <c r="C210" s="5">
        <f t="shared" si="27"/>
        <v>135000.00000000003</v>
      </c>
      <c r="D210" s="10">
        <f t="shared" si="23"/>
        <v>841.30635430657708</v>
      </c>
      <c r="E210" s="3">
        <f t="shared" si="24"/>
        <v>135841.30635430661</v>
      </c>
      <c r="F210" s="3">
        <f t="shared" si="21"/>
        <v>833.33333333333337</v>
      </c>
      <c r="G210" s="5">
        <f t="shared" si="25"/>
        <v>1674.6396876399103</v>
      </c>
      <c r="H210" s="5">
        <v>0</v>
      </c>
      <c r="I210" s="5">
        <f t="shared" si="26"/>
        <v>1674.6396876399103</v>
      </c>
      <c r="J210" s="5">
        <f t="shared" si="22"/>
        <v>134166.66666666669</v>
      </c>
      <c r="K210" s="2"/>
    </row>
    <row r="211" spans="1:11" x14ac:dyDescent="0.25">
      <c r="A211" s="8">
        <v>200</v>
      </c>
      <c r="B211" s="9">
        <v>50500</v>
      </c>
      <c r="C211" s="5">
        <f t="shared" si="27"/>
        <v>134166.66666666669</v>
      </c>
      <c r="D211" s="10">
        <f t="shared" si="23"/>
        <v>836.11310520591906</v>
      </c>
      <c r="E211" s="3">
        <f t="shared" si="24"/>
        <v>135002.77977187259</v>
      </c>
      <c r="F211" s="3">
        <f t="shared" si="21"/>
        <v>833.33333333333337</v>
      </c>
      <c r="G211" s="5">
        <f t="shared" si="25"/>
        <v>1669.4464385392525</v>
      </c>
      <c r="H211" s="5">
        <v>0</v>
      </c>
      <c r="I211" s="5">
        <f t="shared" si="26"/>
        <v>1669.4464385392525</v>
      </c>
      <c r="J211" s="5">
        <f t="shared" si="22"/>
        <v>133333.33333333334</v>
      </c>
      <c r="K211" s="2"/>
    </row>
    <row r="212" spans="1:11" x14ac:dyDescent="0.25">
      <c r="A212" s="8">
        <v>201</v>
      </c>
      <c r="B212" s="9">
        <v>50530</v>
      </c>
      <c r="C212" s="5">
        <f t="shared" si="27"/>
        <v>133333.33333333334</v>
      </c>
      <c r="D212" s="10">
        <f t="shared" si="23"/>
        <v>830.91985610526115</v>
      </c>
      <c r="E212" s="3">
        <f t="shared" si="24"/>
        <v>134164.2531894386</v>
      </c>
      <c r="F212" s="3">
        <f t="shared" si="21"/>
        <v>833.33333333333337</v>
      </c>
      <c r="G212" s="5">
        <f t="shared" si="25"/>
        <v>1664.2531894385945</v>
      </c>
      <c r="H212" s="5">
        <v>0</v>
      </c>
      <c r="I212" s="5">
        <f t="shared" si="26"/>
        <v>1664.2531894385945</v>
      </c>
      <c r="J212" s="5">
        <f t="shared" si="22"/>
        <v>132500</v>
      </c>
      <c r="K212" s="2"/>
    </row>
    <row r="213" spans="1:11" x14ac:dyDescent="0.25">
      <c r="A213" s="8">
        <v>202</v>
      </c>
      <c r="B213" s="9">
        <v>50561</v>
      </c>
      <c r="C213" s="5">
        <f t="shared" si="27"/>
        <v>132500</v>
      </c>
      <c r="D213" s="10">
        <f t="shared" si="23"/>
        <v>825.72660700460324</v>
      </c>
      <c r="E213" s="3">
        <f t="shared" si="24"/>
        <v>133325.72660700462</v>
      </c>
      <c r="F213" s="3">
        <f t="shared" si="21"/>
        <v>833.33333333333337</v>
      </c>
      <c r="G213" s="5">
        <f t="shared" si="25"/>
        <v>1659.0599403379365</v>
      </c>
      <c r="H213" s="5">
        <v>0</v>
      </c>
      <c r="I213" s="5">
        <f t="shared" si="26"/>
        <v>1659.0599403379365</v>
      </c>
      <c r="J213" s="5">
        <f t="shared" si="22"/>
        <v>131666.66666666669</v>
      </c>
      <c r="K213" s="2"/>
    </row>
    <row r="214" spans="1:11" x14ac:dyDescent="0.25">
      <c r="A214" s="8">
        <v>203</v>
      </c>
      <c r="B214" s="9">
        <v>50591</v>
      </c>
      <c r="C214" s="5">
        <f t="shared" si="27"/>
        <v>131666.66666666669</v>
      </c>
      <c r="D214" s="10">
        <f t="shared" si="23"/>
        <v>820.53335790394544</v>
      </c>
      <c r="E214" s="3">
        <f t="shared" si="24"/>
        <v>132487.20002457063</v>
      </c>
      <c r="F214" s="3">
        <f t="shared" si="21"/>
        <v>833.33333333333337</v>
      </c>
      <c r="G214" s="5">
        <f t="shared" si="25"/>
        <v>1653.8666912372787</v>
      </c>
      <c r="H214" s="5">
        <v>0</v>
      </c>
      <c r="I214" s="5">
        <f t="shared" si="26"/>
        <v>1653.8666912372787</v>
      </c>
      <c r="J214" s="5">
        <f t="shared" si="22"/>
        <v>130833.33333333336</v>
      </c>
      <c r="K214" s="2"/>
    </row>
    <row r="215" spans="1:11" x14ac:dyDescent="0.25">
      <c r="A215" s="8">
        <v>204</v>
      </c>
      <c r="B215" s="9">
        <v>50622</v>
      </c>
      <c r="C215" s="5">
        <f t="shared" si="27"/>
        <v>130833.33333333336</v>
      </c>
      <c r="D215" s="10">
        <f t="shared" si="23"/>
        <v>815.34010880328765</v>
      </c>
      <c r="E215" s="3">
        <f t="shared" si="24"/>
        <v>131648.67344213664</v>
      </c>
      <c r="F215" s="3">
        <f t="shared" si="21"/>
        <v>833.33333333333337</v>
      </c>
      <c r="G215" s="5">
        <f t="shared" si="25"/>
        <v>1648.6734421366209</v>
      </c>
      <c r="H215" s="5">
        <v>0</v>
      </c>
      <c r="I215" s="5">
        <f t="shared" si="26"/>
        <v>1648.6734421366209</v>
      </c>
      <c r="J215" s="5">
        <f t="shared" si="22"/>
        <v>130000.00000000001</v>
      </c>
      <c r="K215" s="2"/>
    </row>
    <row r="216" spans="1:11" x14ac:dyDescent="0.25">
      <c r="A216" s="8">
        <v>205</v>
      </c>
      <c r="B216" s="9">
        <v>50653</v>
      </c>
      <c r="C216" s="5">
        <f t="shared" si="27"/>
        <v>130000.00000000001</v>
      </c>
      <c r="D216" s="10">
        <f t="shared" si="23"/>
        <v>810.14685970262963</v>
      </c>
      <c r="E216" s="3">
        <f t="shared" si="24"/>
        <v>130810.14685970264</v>
      </c>
      <c r="F216" s="3">
        <f t="shared" si="21"/>
        <v>833.33333333333337</v>
      </c>
      <c r="G216" s="5">
        <f t="shared" si="25"/>
        <v>1643.4801930359631</v>
      </c>
      <c r="H216" s="5">
        <v>0</v>
      </c>
      <c r="I216" s="5">
        <f t="shared" si="26"/>
        <v>1643.4801930359631</v>
      </c>
      <c r="J216" s="5">
        <f t="shared" si="22"/>
        <v>129166.66666666667</v>
      </c>
      <c r="K216" s="2"/>
    </row>
    <row r="217" spans="1:11" x14ac:dyDescent="0.25">
      <c r="A217" s="8">
        <v>206</v>
      </c>
      <c r="B217" s="9">
        <v>50683</v>
      </c>
      <c r="C217" s="5">
        <f t="shared" si="27"/>
        <v>129166.66666666667</v>
      </c>
      <c r="D217" s="10">
        <f t="shared" si="23"/>
        <v>804.95361060197172</v>
      </c>
      <c r="E217" s="3">
        <f t="shared" si="24"/>
        <v>129971.62027726864</v>
      </c>
      <c r="F217" s="3">
        <f t="shared" si="21"/>
        <v>833.33333333333337</v>
      </c>
      <c r="G217" s="5">
        <f t="shared" si="25"/>
        <v>1638.2869439353051</v>
      </c>
      <c r="H217" s="5">
        <v>0</v>
      </c>
      <c r="I217" s="5">
        <f t="shared" si="26"/>
        <v>1638.2869439353051</v>
      </c>
      <c r="J217" s="5">
        <f t="shared" si="22"/>
        <v>128333.33333333333</v>
      </c>
      <c r="K217" s="2"/>
    </row>
    <row r="218" spans="1:11" x14ac:dyDescent="0.25">
      <c r="A218" s="8">
        <v>207</v>
      </c>
      <c r="B218" s="9">
        <v>50714</v>
      </c>
      <c r="C218" s="5">
        <f t="shared" si="27"/>
        <v>128333.33333333333</v>
      </c>
      <c r="D218" s="10">
        <f t="shared" si="23"/>
        <v>799.76036150131381</v>
      </c>
      <c r="E218" s="3">
        <f t="shared" si="24"/>
        <v>129133.09369483464</v>
      </c>
      <c r="F218" s="3">
        <f t="shared" si="21"/>
        <v>833.33333333333337</v>
      </c>
      <c r="G218" s="5">
        <f t="shared" si="25"/>
        <v>1633.0936948346471</v>
      </c>
      <c r="H218" s="5">
        <v>0</v>
      </c>
      <c r="I218" s="5">
        <f t="shared" si="26"/>
        <v>1633.0936948346471</v>
      </c>
      <c r="J218" s="5">
        <f t="shared" si="22"/>
        <v>127499.99999999999</v>
      </c>
      <c r="K218" s="2"/>
    </row>
    <row r="219" spans="1:11" x14ac:dyDescent="0.25">
      <c r="A219" s="8">
        <v>208</v>
      </c>
      <c r="B219" s="9">
        <v>50744</v>
      </c>
      <c r="C219" s="5">
        <f t="shared" si="27"/>
        <v>127499.99999999999</v>
      </c>
      <c r="D219" s="10">
        <f t="shared" si="23"/>
        <v>794.56711240065579</v>
      </c>
      <c r="E219" s="3">
        <f t="shared" si="24"/>
        <v>128294.56711240065</v>
      </c>
      <c r="F219" s="3">
        <f t="shared" si="21"/>
        <v>833.33333333333337</v>
      </c>
      <c r="G219" s="5">
        <f t="shared" si="25"/>
        <v>1627.9004457339893</v>
      </c>
      <c r="H219" s="5">
        <v>0</v>
      </c>
      <c r="I219" s="5">
        <f t="shared" si="26"/>
        <v>1627.9004457339893</v>
      </c>
      <c r="J219" s="5">
        <f t="shared" si="22"/>
        <v>126666.66666666666</v>
      </c>
      <c r="K219" s="2"/>
    </row>
    <row r="220" spans="1:11" x14ac:dyDescent="0.25">
      <c r="A220" s="8">
        <v>209</v>
      </c>
      <c r="B220" s="9">
        <v>50775</v>
      </c>
      <c r="C220" s="5">
        <f t="shared" si="27"/>
        <v>126666.66666666666</v>
      </c>
      <c r="D220" s="10">
        <f t="shared" si="23"/>
        <v>789.37386329999799</v>
      </c>
      <c r="E220" s="3">
        <f t="shared" si="24"/>
        <v>127456.04052996666</v>
      </c>
      <c r="F220" s="3">
        <f t="shared" si="21"/>
        <v>833.33333333333337</v>
      </c>
      <c r="G220" s="5">
        <f t="shared" si="25"/>
        <v>1622.7071966333315</v>
      </c>
      <c r="H220" s="5">
        <v>0</v>
      </c>
      <c r="I220" s="5">
        <f t="shared" si="26"/>
        <v>1622.7071966333315</v>
      </c>
      <c r="J220" s="5">
        <f t="shared" si="22"/>
        <v>125833.33333333333</v>
      </c>
      <c r="K220" s="2"/>
    </row>
    <row r="221" spans="1:11" x14ac:dyDescent="0.25">
      <c r="A221" s="8">
        <v>210</v>
      </c>
      <c r="B221" s="9">
        <v>50806</v>
      </c>
      <c r="C221" s="5">
        <f t="shared" si="27"/>
        <v>125833.33333333333</v>
      </c>
      <c r="D221" s="10">
        <f t="shared" si="23"/>
        <v>784.18061419934008</v>
      </c>
      <c r="E221" s="3">
        <f t="shared" si="24"/>
        <v>126617.51394753267</v>
      </c>
      <c r="F221" s="3">
        <f t="shared" si="21"/>
        <v>833.33333333333337</v>
      </c>
      <c r="G221" s="5">
        <f t="shared" si="25"/>
        <v>1617.5139475326735</v>
      </c>
      <c r="H221" s="5">
        <v>0</v>
      </c>
      <c r="I221" s="5">
        <f t="shared" si="26"/>
        <v>1617.5139475326735</v>
      </c>
      <c r="J221" s="5">
        <f t="shared" si="22"/>
        <v>125000</v>
      </c>
      <c r="K221" s="2"/>
    </row>
    <row r="222" spans="1:11" x14ac:dyDescent="0.25">
      <c r="A222" s="8">
        <v>211</v>
      </c>
      <c r="B222" s="9">
        <v>50834</v>
      </c>
      <c r="C222" s="5">
        <f t="shared" si="27"/>
        <v>125000</v>
      </c>
      <c r="D222" s="10">
        <f t="shared" si="23"/>
        <v>778.98736509868229</v>
      </c>
      <c r="E222" s="3">
        <f t="shared" si="24"/>
        <v>125778.98736509868</v>
      </c>
      <c r="F222" s="3">
        <f t="shared" si="21"/>
        <v>833.33333333333337</v>
      </c>
      <c r="G222" s="5">
        <f t="shared" si="25"/>
        <v>1612.3206984320157</v>
      </c>
      <c r="H222" s="5">
        <v>0</v>
      </c>
      <c r="I222" s="5">
        <f t="shared" si="26"/>
        <v>1612.3206984320157</v>
      </c>
      <c r="J222" s="5">
        <f t="shared" si="22"/>
        <v>124166.66666666667</v>
      </c>
      <c r="K222" s="2"/>
    </row>
    <row r="223" spans="1:11" x14ac:dyDescent="0.25">
      <c r="A223" s="8">
        <v>212</v>
      </c>
      <c r="B223" s="9">
        <v>50865</v>
      </c>
      <c r="C223" s="5">
        <f t="shared" si="27"/>
        <v>124166.66666666667</v>
      </c>
      <c r="D223" s="10">
        <f t="shared" si="23"/>
        <v>773.79411599802438</v>
      </c>
      <c r="E223" s="3">
        <f t="shared" si="24"/>
        <v>124940.4607826647</v>
      </c>
      <c r="F223" s="3">
        <f t="shared" si="21"/>
        <v>833.33333333333337</v>
      </c>
      <c r="G223" s="5">
        <f t="shared" si="25"/>
        <v>1607.1274493313576</v>
      </c>
      <c r="H223" s="5">
        <v>0</v>
      </c>
      <c r="I223" s="5">
        <f t="shared" si="26"/>
        <v>1607.1274493313576</v>
      </c>
      <c r="J223" s="5">
        <f t="shared" si="22"/>
        <v>123333.33333333334</v>
      </c>
      <c r="K223" s="2"/>
    </row>
    <row r="224" spans="1:11" x14ac:dyDescent="0.25">
      <c r="A224" s="8">
        <v>213</v>
      </c>
      <c r="B224" s="9">
        <v>50895</v>
      </c>
      <c r="C224" s="5">
        <f t="shared" si="27"/>
        <v>123333.33333333334</v>
      </c>
      <c r="D224" s="10">
        <f t="shared" si="23"/>
        <v>768.60086689736659</v>
      </c>
      <c r="E224" s="3">
        <f t="shared" si="24"/>
        <v>124101.93420023071</v>
      </c>
      <c r="F224" s="3">
        <f t="shared" si="21"/>
        <v>833.33333333333337</v>
      </c>
      <c r="G224" s="5">
        <f t="shared" si="25"/>
        <v>1601.9342002306998</v>
      </c>
      <c r="H224" s="5">
        <v>0</v>
      </c>
      <c r="I224" s="5">
        <f t="shared" si="26"/>
        <v>1601.9342002306998</v>
      </c>
      <c r="J224" s="5">
        <f t="shared" si="22"/>
        <v>122500.00000000001</v>
      </c>
      <c r="K224" s="2"/>
    </row>
    <row r="225" spans="1:11" x14ac:dyDescent="0.25">
      <c r="A225" s="8">
        <v>214</v>
      </c>
      <c r="B225" s="9">
        <v>50926</v>
      </c>
      <c r="C225" s="5">
        <f t="shared" si="27"/>
        <v>122500.00000000001</v>
      </c>
      <c r="D225" s="10">
        <f t="shared" si="23"/>
        <v>763.40761779670868</v>
      </c>
      <c r="E225" s="3">
        <f t="shared" si="24"/>
        <v>123263.40761779672</v>
      </c>
      <c r="F225" s="3">
        <f t="shared" si="21"/>
        <v>833.33333333333337</v>
      </c>
      <c r="G225" s="5">
        <f t="shared" si="25"/>
        <v>1596.740951130042</v>
      </c>
      <c r="H225" s="5">
        <v>0</v>
      </c>
      <c r="I225" s="5">
        <f t="shared" si="26"/>
        <v>1596.740951130042</v>
      </c>
      <c r="J225" s="5">
        <f t="shared" si="22"/>
        <v>121666.66666666669</v>
      </c>
      <c r="K225" s="2"/>
    </row>
    <row r="226" spans="1:11" x14ac:dyDescent="0.25">
      <c r="A226" s="8">
        <v>215</v>
      </c>
      <c r="B226" s="9">
        <v>50956</v>
      </c>
      <c r="C226" s="5">
        <f t="shared" si="27"/>
        <v>121666.66666666669</v>
      </c>
      <c r="D226" s="10">
        <f t="shared" si="23"/>
        <v>758.21436869605088</v>
      </c>
      <c r="E226" s="3">
        <f t="shared" si="24"/>
        <v>122424.88103536273</v>
      </c>
      <c r="F226" s="3">
        <f t="shared" si="21"/>
        <v>833.33333333333337</v>
      </c>
      <c r="G226" s="5">
        <f t="shared" si="25"/>
        <v>1591.5477020293843</v>
      </c>
      <c r="H226" s="5">
        <v>0</v>
      </c>
      <c r="I226" s="5">
        <f t="shared" si="26"/>
        <v>1591.5477020293843</v>
      </c>
      <c r="J226" s="5">
        <f t="shared" si="22"/>
        <v>120833.33333333334</v>
      </c>
      <c r="K226" s="2"/>
    </row>
    <row r="227" spans="1:11" x14ac:dyDescent="0.25">
      <c r="A227" s="8">
        <v>216</v>
      </c>
      <c r="B227" s="9">
        <v>50987</v>
      </c>
      <c r="C227" s="5">
        <f t="shared" si="27"/>
        <v>120833.33333333334</v>
      </c>
      <c r="D227" s="10">
        <f t="shared" si="23"/>
        <v>753.02111959539297</v>
      </c>
      <c r="E227" s="3">
        <f t="shared" si="24"/>
        <v>121586.35445292873</v>
      </c>
      <c r="F227" s="3">
        <f t="shared" si="21"/>
        <v>833.33333333333337</v>
      </c>
      <c r="G227" s="5">
        <f t="shared" si="25"/>
        <v>1586.3544529287265</v>
      </c>
      <c r="H227" s="5">
        <v>0</v>
      </c>
      <c r="I227" s="5">
        <f t="shared" si="26"/>
        <v>1586.3544529287265</v>
      </c>
      <c r="J227" s="5">
        <f t="shared" si="22"/>
        <v>120000</v>
      </c>
      <c r="K227" s="2"/>
    </row>
    <row r="228" spans="1:11" x14ac:dyDescent="0.25">
      <c r="A228" s="8">
        <v>217</v>
      </c>
      <c r="B228" s="9">
        <v>51018</v>
      </c>
      <c r="C228" s="5">
        <f t="shared" si="27"/>
        <v>120000</v>
      </c>
      <c r="D228" s="10">
        <f t="shared" si="23"/>
        <v>747.82787049473495</v>
      </c>
      <c r="E228" s="3">
        <f t="shared" si="24"/>
        <v>120747.82787049473</v>
      </c>
      <c r="F228" s="3">
        <f t="shared" si="21"/>
        <v>833.33333333333337</v>
      </c>
      <c r="G228" s="5">
        <f t="shared" si="25"/>
        <v>1581.1612038280682</v>
      </c>
      <c r="H228" s="5">
        <v>0</v>
      </c>
      <c r="I228" s="5">
        <f t="shared" si="26"/>
        <v>1581.1612038280682</v>
      </c>
      <c r="J228" s="5">
        <f t="shared" si="22"/>
        <v>119166.66666666666</v>
      </c>
      <c r="K228" s="2"/>
    </row>
    <row r="229" spans="1:11" x14ac:dyDescent="0.25">
      <c r="A229" s="8">
        <v>218</v>
      </c>
      <c r="B229" s="9">
        <v>51048</v>
      </c>
      <c r="C229" s="5">
        <f t="shared" si="27"/>
        <v>119166.66666666666</v>
      </c>
      <c r="D229" s="10">
        <f t="shared" si="23"/>
        <v>742.63462139407704</v>
      </c>
      <c r="E229" s="3">
        <f t="shared" si="24"/>
        <v>119909.30128806073</v>
      </c>
      <c r="F229" s="3">
        <f t="shared" si="21"/>
        <v>833.33333333333337</v>
      </c>
      <c r="G229" s="5">
        <f t="shared" si="25"/>
        <v>1575.9679547274104</v>
      </c>
      <c r="H229" s="5">
        <v>0</v>
      </c>
      <c r="I229" s="5">
        <f t="shared" si="26"/>
        <v>1575.9679547274104</v>
      </c>
      <c r="J229" s="5">
        <f t="shared" si="22"/>
        <v>118333.33333333331</v>
      </c>
      <c r="K229" s="2"/>
    </row>
    <row r="230" spans="1:11" x14ac:dyDescent="0.25">
      <c r="A230" s="8">
        <v>219</v>
      </c>
      <c r="B230" s="9">
        <v>51079</v>
      </c>
      <c r="C230" s="5">
        <f t="shared" si="27"/>
        <v>118333.33333333331</v>
      </c>
      <c r="D230" s="10">
        <f t="shared" si="23"/>
        <v>737.44137229341914</v>
      </c>
      <c r="E230" s="3">
        <f t="shared" si="24"/>
        <v>119070.77470562674</v>
      </c>
      <c r="F230" s="3">
        <f t="shared" si="21"/>
        <v>833.33333333333337</v>
      </c>
      <c r="G230" s="5">
        <f t="shared" si="25"/>
        <v>1570.7747056267526</v>
      </c>
      <c r="H230" s="5">
        <v>0</v>
      </c>
      <c r="I230" s="5">
        <f t="shared" si="26"/>
        <v>1570.7747056267526</v>
      </c>
      <c r="J230" s="5">
        <f t="shared" si="22"/>
        <v>117499.99999999999</v>
      </c>
      <c r="K230" s="2"/>
    </row>
    <row r="231" spans="1:11" x14ac:dyDescent="0.25">
      <c r="A231" s="8">
        <v>220</v>
      </c>
      <c r="B231" s="9">
        <v>51109</v>
      </c>
      <c r="C231" s="5">
        <f t="shared" si="27"/>
        <v>117499.99999999999</v>
      </c>
      <c r="D231" s="10">
        <f t="shared" si="23"/>
        <v>732.24812319276123</v>
      </c>
      <c r="E231" s="3">
        <f t="shared" si="24"/>
        <v>118232.24812319275</v>
      </c>
      <c r="F231" s="3">
        <f t="shared" si="21"/>
        <v>833.33333333333337</v>
      </c>
      <c r="G231" s="5">
        <f t="shared" si="25"/>
        <v>1565.5814565260946</v>
      </c>
      <c r="H231" s="5">
        <v>0</v>
      </c>
      <c r="I231" s="5">
        <f t="shared" si="26"/>
        <v>1565.5814565260946</v>
      </c>
      <c r="J231" s="5">
        <f t="shared" si="22"/>
        <v>116666.66666666666</v>
      </c>
      <c r="K231" s="2"/>
    </row>
    <row r="232" spans="1:11" x14ac:dyDescent="0.25">
      <c r="A232" s="8">
        <v>221</v>
      </c>
      <c r="B232" s="9">
        <v>51140</v>
      </c>
      <c r="C232" s="5">
        <f t="shared" si="27"/>
        <v>116666.66666666666</v>
      </c>
      <c r="D232" s="10">
        <f t="shared" si="23"/>
        <v>727.05487409210343</v>
      </c>
      <c r="E232" s="3">
        <f t="shared" si="24"/>
        <v>117393.72154075876</v>
      </c>
      <c r="F232" s="3">
        <f t="shared" si="21"/>
        <v>833.33333333333337</v>
      </c>
      <c r="G232" s="5">
        <f t="shared" si="25"/>
        <v>1560.3882074254368</v>
      </c>
      <c r="H232" s="5">
        <v>0</v>
      </c>
      <c r="I232" s="5">
        <f t="shared" si="26"/>
        <v>1560.3882074254368</v>
      </c>
      <c r="J232" s="5">
        <f t="shared" si="22"/>
        <v>115833.33333333333</v>
      </c>
      <c r="K232" s="2"/>
    </row>
    <row r="233" spans="1:11" x14ac:dyDescent="0.25">
      <c r="A233" s="8">
        <v>222</v>
      </c>
      <c r="B233" s="9">
        <v>51171</v>
      </c>
      <c r="C233" s="5">
        <f t="shared" si="27"/>
        <v>115833.33333333333</v>
      </c>
      <c r="D233" s="10">
        <f t="shared" si="23"/>
        <v>721.86162499144552</v>
      </c>
      <c r="E233" s="3">
        <f t="shared" si="24"/>
        <v>116555.19495832478</v>
      </c>
      <c r="F233" s="3">
        <f t="shared" si="21"/>
        <v>833.33333333333337</v>
      </c>
      <c r="G233" s="5">
        <f t="shared" si="25"/>
        <v>1555.1949583247788</v>
      </c>
      <c r="H233" s="5">
        <v>0</v>
      </c>
      <c r="I233" s="5">
        <f t="shared" si="26"/>
        <v>1555.1949583247788</v>
      </c>
      <c r="J233" s="5">
        <f t="shared" si="22"/>
        <v>115000</v>
      </c>
      <c r="K233" s="2"/>
    </row>
    <row r="234" spans="1:11" x14ac:dyDescent="0.25">
      <c r="A234" s="8">
        <v>223</v>
      </c>
      <c r="B234" s="9">
        <v>51200</v>
      </c>
      <c r="C234" s="5">
        <f t="shared" si="27"/>
        <v>115000</v>
      </c>
      <c r="D234" s="10">
        <f t="shared" si="23"/>
        <v>716.66837589078773</v>
      </c>
      <c r="E234" s="3">
        <f t="shared" si="24"/>
        <v>115716.66837589079</v>
      </c>
      <c r="F234" s="3">
        <f t="shared" si="21"/>
        <v>833.33333333333337</v>
      </c>
      <c r="G234" s="5">
        <f t="shared" si="25"/>
        <v>1550.001709224121</v>
      </c>
      <c r="H234" s="5">
        <v>0</v>
      </c>
      <c r="I234" s="5">
        <f t="shared" si="26"/>
        <v>1550.001709224121</v>
      </c>
      <c r="J234" s="5">
        <f t="shared" si="22"/>
        <v>114166.66666666667</v>
      </c>
      <c r="K234" s="2"/>
    </row>
    <row r="235" spans="1:11" x14ac:dyDescent="0.25">
      <c r="A235" s="8">
        <v>224</v>
      </c>
      <c r="B235" s="9">
        <v>51231</v>
      </c>
      <c r="C235" s="5">
        <f t="shared" si="27"/>
        <v>114166.66666666667</v>
      </c>
      <c r="D235" s="10">
        <f t="shared" si="23"/>
        <v>711.47512679012982</v>
      </c>
      <c r="E235" s="3">
        <f t="shared" si="24"/>
        <v>114878.1417934568</v>
      </c>
      <c r="F235" s="3">
        <f t="shared" si="21"/>
        <v>833.33333333333337</v>
      </c>
      <c r="G235" s="5">
        <f t="shared" si="25"/>
        <v>1544.8084601234632</v>
      </c>
      <c r="H235" s="5">
        <v>0</v>
      </c>
      <c r="I235" s="5">
        <f t="shared" si="26"/>
        <v>1544.8084601234632</v>
      </c>
      <c r="J235" s="5">
        <f t="shared" si="22"/>
        <v>113333.33333333334</v>
      </c>
      <c r="K235" s="2"/>
    </row>
    <row r="236" spans="1:11" x14ac:dyDescent="0.25">
      <c r="A236" s="8">
        <v>225</v>
      </c>
      <c r="B236" s="9">
        <v>51261</v>
      </c>
      <c r="C236" s="5">
        <f t="shared" si="27"/>
        <v>113333.33333333334</v>
      </c>
      <c r="D236" s="10">
        <f t="shared" si="23"/>
        <v>706.28187768947203</v>
      </c>
      <c r="E236" s="3">
        <f t="shared" si="24"/>
        <v>114039.61521102281</v>
      </c>
      <c r="F236" s="3">
        <f t="shared" si="21"/>
        <v>833.33333333333337</v>
      </c>
      <c r="G236" s="5">
        <f t="shared" si="25"/>
        <v>1539.6152110228054</v>
      </c>
      <c r="H236" s="5">
        <v>0</v>
      </c>
      <c r="I236" s="5">
        <f t="shared" si="26"/>
        <v>1539.6152110228054</v>
      </c>
      <c r="J236" s="5">
        <f t="shared" si="22"/>
        <v>112500.00000000001</v>
      </c>
      <c r="K236" s="2"/>
    </row>
    <row r="237" spans="1:11" x14ac:dyDescent="0.25">
      <c r="A237" s="8">
        <v>226</v>
      </c>
      <c r="B237" s="9">
        <v>51292</v>
      </c>
      <c r="C237" s="5">
        <f t="shared" si="27"/>
        <v>112500.00000000001</v>
      </c>
      <c r="D237" s="10">
        <f t="shared" si="23"/>
        <v>701.08862858881412</v>
      </c>
      <c r="E237" s="3">
        <f t="shared" si="24"/>
        <v>113201.08862858883</v>
      </c>
      <c r="F237" s="3">
        <f t="shared" si="21"/>
        <v>833.33333333333337</v>
      </c>
      <c r="G237" s="5">
        <f t="shared" si="25"/>
        <v>1534.4219619221476</v>
      </c>
      <c r="H237" s="5">
        <v>0</v>
      </c>
      <c r="I237" s="5">
        <f t="shared" si="26"/>
        <v>1534.4219619221476</v>
      </c>
      <c r="J237" s="5">
        <f t="shared" si="22"/>
        <v>111666.66666666669</v>
      </c>
      <c r="K237" s="2"/>
    </row>
    <row r="238" spans="1:11" x14ac:dyDescent="0.25">
      <c r="A238" s="8">
        <v>227</v>
      </c>
      <c r="B238" s="9">
        <v>51322</v>
      </c>
      <c r="C238" s="5">
        <f t="shared" si="27"/>
        <v>111666.66666666669</v>
      </c>
      <c r="D238" s="10">
        <f t="shared" si="23"/>
        <v>695.89537948815632</v>
      </c>
      <c r="E238" s="3">
        <f t="shared" si="24"/>
        <v>112362.56204615484</v>
      </c>
      <c r="F238" s="3">
        <f t="shared" si="21"/>
        <v>833.33333333333337</v>
      </c>
      <c r="G238" s="5">
        <f t="shared" si="25"/>
        <v>1529.2287128214898</v>
      </c>
      <c r="H238" s="5">
        <v>0</v>
      </c>
      <c r="I238" s="5">
        <f t="shared" si="26"/>
        <v>1529.2287128214898</v>
      </c>
      <c r="J238" s="5">
        <f t="shared" si="22"/>
        <v>110833.33333333334</v>
      </c>
      <c r="K238" s="2"/>
    </row>
    <row r="239" spans="1:11" x14ac:dyDescent="0.25">
      <c r="A239" s="8">
        <v>228</v>
      </c>
      <c r="B239" s="9">
        <v>51353</v>
      </c>
      <c r="C239" s="5">
        <f t="shared" si="27"/>
        <v>110833.33333333334</v>
      </c>
      <c r="D239" s="10">
        <f t="shared" si="23"/>
        <v>690.7021303874983</v>
      </c>
      <c r="E239" s="3">
        <f t="shared" si="24"/>
        <v>111524.03546372084</v>
      </c>
      <c r="F239" s="3">
        <f t="shared" si="21"/>
        <v>833.33333333333337</v>
      </c>
      <c r="G239" s="5">
        <f t="shared" si="25"/>
        <v>1524.0354637208316</v>
      </c>
      <c r="H239" s="5">
        <v>0</v>
      </c>
      <c r="I239" s="5">
        <f t="shared" si="26"/>
        <v>1524.0354637208316</v>
      </c>
      <c r="J239" s="5">
        <f t="shared" si="22"/>
        <v>110000</v>
      </c>
      <c r="K239" s="2"/>
    </row>
    <row r="240" spans="1:11" x14ac:dyDescent="0.25">
      <c r="A240" s="8">
        <v>229</v>
      </c>
      <c r="B240" s="9">
        <v>51384</v>
      </c>
      <c r="C240" s="5">
        <f t="shared" si="27"/>
        <v>110000</v>
      </c>
      <c r="D240" s="10">
        <f t="shared" si="23"/>
        <v>685.50888128684039</v>
      </c>
      <c r="E240" s="3">
        <f t="shared" si="24"/>
        <v>110685.50888128683</v>
      </c>
      <c r="F240" s="3">
        <f t="shared" si="21"/>
        <v>833.33333333333337</v>
      </c>
      <c r="G240" s="5">
        <f t="shared" si="25"/>
        <v>1518.8422146201738</v>
      </c>
      <c r="H240" s="5">
        <v>0</v>
      </c>
      <c r="I240" s="5">
        <f t="shared" si="26"/>
        <v>1518.8422146201738</v>
      </c>
      <c r="J240" s="5">
        <f t="shared" si="22"/>
        <v>109166.66666666666</v>
      </c>
      <c r="K240" s="2"/>
    </row>
    <row r="241" spans="1:11" x14ac:dyDescent="0.25">
      <c r="A241" s="8">
        <v>230</v>
      </c>
      <c r="B241" s="9">
        <v>51414</v>
      </c>
      <c r="C241" s="5">
        <f t="shared" si="27"/>
        <v>109166.66666666666</v>
      </c>
      <c r="D241" s="10">
        <f t="shared" si="23"/>
        <v>680.31563218618248</v>
      </c>
      <c r="E241" s="3">
        <f t="shared" si="24"/>
        <v>109846.98229885285</v>
      </c>
      <c r="F241" s="3">
        <f t="shared" si="21"/>
        <v>833.33333333333337</v>
      </c>
      <c r="G241" s="5">
        <f t="shared" si="25"/>
        <v>1513.648965519516</v>
      </c>
      <c r="H241" s="5">
        <v>0</v>
      </c>
      <c r="I241" s="5">
        <f t="shared" si="26"/>
        <v>1513.648965519516</v>
      </c>
      <c r="J241" s="5">
        <f t="shared" si="22"/>
        <v>108333.33333333333</v>
      </c>
      <c r="K241" s="2"/>
    </row>
    <row r="242" spans="1:11" x14ac:dyDescent="0.25">
      <c r="A242" s="8">
        <v>231</v>
      </c>
      <c r="B242" s="9">
        <v>51445</v>
      </c>
      <c r="C242" s="5">
        <f t="shared" si="27"/>
        <v>108333.33333333333</v>
      </c>
      <c r="D242" s="10">
        <f t="shared" si="23"/>
        <v>675.12238308552458</v>
      </c>
      <c r="E242" s="3">
        <f t="shared" si="24"/>
        <v>109008.45571641886</v>
      </c>
      <c r="F242" s="3">
        <f t="shared" si="21"/>
        <v>833.33333333333337</v>
      </c>
      <c r="G242" s="5">
        <f t="shared" si="25"/>
        <v>1508.4557164188579</v>
      </c>
      <c r="H242" s="5">
        <v>0</v>
      </c>
      <c r="I242" s="5">
        <f t="shared" si="26"/>
        <v>1508.4557164188579</v>
      </c>
      <c r="J242" s="5">
        <f t="shared" si="22"/>
        <v>107500</v>
      </c>
      <c r="K242" s="2"/>
    </row>
    <row r="243" spans="1:11" x14ac:dyDescent="0.25">
      <c r="A243" s="8">
        <v>232</v>
      </c>
      <c r="B243" s="9">
        <v>51475</v>
      </c>
      <c r="C243" s="5">
        <f t="shared" si="27"/>
        <v>107500</v>
      </c>
      <c r="D243" s="10">
        <f t="shared" si="23"/>
        <v>669.92913398486678</v>
      </c>
      <c r="E243" s="3">
        <f t="shared" si="24"/>
        <v>108169.92913398487</v>
      </c>
      <c r="F243" s="3">
        <f t="shared" si="21"/>
        <v>833.33333333333337</v>
      </c>
      <c r="G243" s="5">
        <f t="shared" si="25"/>
        <v>1503.2624673182002</v>
      </c>
      <c r="H243" s="5">
        <v>0</v>
      </c>
      <c r="I243" s="5">
        <f t="shared" si="26"/>
        <v>1503.2624673182002</v>
      </c>
      <c r="J243" s="5">
        <f t="shared" si="22"/>
        <v>106666.66666666667</v>
      </c>
      <c r="K243" s="2"/>
    </row>
    <row r="244" spans="1:11" x14ac:dyDescent="0.25">
      <c r="A244" s="8">
        <v>233</v>
      </c>
      <c r="B244" s="9">
        <v>51506</v>
      </c>
      <c r="C244" s="5">
        <f t="shared" si="27"/>
        <v>106666.66666666667</v>
      </c>
      <c r="D244" s="10">
        <f t="shared" si="23"/>
        <v>664.73588488420887</v>
      </c>
      <c r="E244" s="3">
        <f t="shared" si="24"/>
        <v>107331.40255155088</v>
      </c>
      <c r="F244" s="3">
        <f t="shared" si="21"/>
        <v>833.33333333333337</v>
      </c>
      <c r="G244" s="5">
        <f t="shared" si="25"/>
        <v>1498.0692182175421</v>
      </c>
      <c r="H244" s="5">
        <v>0</v>
      </c>
      <c r="I244" s="5">
        <f t="shared" si="26"/>
        <v>1498.0692182175421</v>
      </c>
      <c r="J244" s="5">
        <f t="shared" si="22"/>
        <v>105833.33333333334</v>
      </c>
      <c r="K244" s="2"/>
    </row>
    <row r="245" spans="1:11" x14ac:dyDescent="0.25">
      <c r="A245" s="8">
        <v>234</v>
      </c>
      <c r="B245" s="9">
        <v>51537</v>
      </c>
      <c r="C245" s="5">
        <f t="shared" si="27"/>
        <v>105833.33333333334</v>
      </c>
      <c r="D245" s="10">
        <f t="shared" si="23"/>
        <v>659.54263578355108</v>
      </c>
      <c r="E245" s="3">
        <f t="shared" si="24"/>
        <v>106492.8759691169</v>
      </c>
      <c r="F245" s="3">
        <f t="shared" si="21"/>
        <v>833.33333333333337</v>
      </c>
      <c r="G245" s="5">
        <f t="shared" si="25"/>
        <v>1492.8759691168843</v>
      </c>
      <c r="H245" s="5">
        <v>0</v>
      </c>
      <c r="I245" s="5">
        <f t="shared" si="26"/>
        <v>1492.8759691168843</v>
      </c>
      <c r="J245" s="5">
        <f t="shared" si="22"/>
        <v>105000.00000000001</v>
      </c>
      <c r="K245" s="2"/>
    </row>
    <row r="246" spans="1:11" x14ac:dyDescent="0.25">
      <c r="A246" s="8">
        <v>235</v>
      </c>
      <c r="B246" s="9">
        <v>51565</v>
      </c>
      <c r="C246" s="5">
        <f t="shared" si="27"/>
        <v>105000.00000000001</v>
      </c>
      <c r="D246" s="10">
        <f t="shared" si="23"/>
        <v>654.34938668289317</v>
      </c>
      <c r="E246" s="3">
        <f t="shared" si="24"/>
        <v>105654.34938668291</v>
      </c>
      <c r="F246" s="3">
        <f t="shared" si="21"/>
        <v>833.33333333333337</v>
      </c>
      <c r="G246" s="5">
        <f t="shared" si="25"/>
        <v>1487.6827200162265</v>
      </c>
      <c r="H246" s="5">
        <v>0</v>
      </c>
      <c r="I246" s="5">
        <f t="shared" si="26"/>
        <v>1487.6827200162265</v>
      </c>
      <c r="J246" s="5">
        <f t="shared" si="22"/>
        <v>104166.66666666669</v>
      </c>
      <c r="K246" s="2"/>
    </row>
    <row r="247" spans="1:11" x14ac:dyDescent="0.25">
      <c r="A247" s="8">
        <v>236</v>
      </c>
      <c r="B247" s="9">
        <v>51596</v>
      </c>
      <c r="C247" s="5">
        <f t="shared" si="27"/>
        <v>104166.66666666669</v>
      </c>
      <c r="D247" s="10">
        <f t="shared" si="23"/>
        <v>649.15613758223537</v>
      </c>
      <c r="E247" s="3">
        <f t="shared" si="24"/>
        <v>104815.82280424892</v>
      </c>
      <c r="F247" s="3">
        <f t="shared" si="21"/>
        <v>833.33333333333337</v>
      </c>
      <c r="G247" s="5">
        <f t="shared" si="25"/>
        <v>1482.4894709155687</v>
      </c>
      <c r="H247" s="5">
        <v>0</v>
      </c>
      <c r="I247" s="5">
        <f t="shared" si="26"/>
        <v>1482.4894709155687</v>
      </c>
      <c r="J247" s="5">
        <f t="shared" si="22"/>
        <v>103333.33333333336</v>
      </c>
      <c r="K247" s="2"/>
    </row>
    <row r="248" spans="1:11" x14ac:dyDescent="0.25">
      <c r="A248" s="8">
        <v>237</v>
      </c>
      <c r="B248" s="9">
        <v>51626</v>
      </c>
      <c r="C248" s="5">
        <f t="shared" si="27"/>
        <v>103333.33333333336</v>
      </c>
      <c r="D248" s="10">
        <f t="shared" si="23"/>
        <v>643.96288848157747</v>
      </c>
      <c r="E248" s="3">
        <f t="shared" si="24"/>
        <v>103977.29622181493</v>
      </c>
      <c r="F248" s="3">
        <f t="shared" si="21"/>
        <v>833.33333333333337</v>
      </c>
      <c r="G248" s="5">
        <f t="shared" si="25"/>
        <v>1477.296221814911</v>
      </c>
      <c r="H248" s="5">
        <v>0</v>
      </c>
      <c r="I248" s="5">
        <f t="shared" si="26"/>
        <v>1477.296221814911</v>
      </c>
      <c r="J248" s="5">
        <f t="shared" si="22"/>
        <v>102500.00000000003</v>
      </c>
      <c r="K248" s="2"/>
    </row>
    <row r="249" spans="1:11" x14ac:dyDescent="0.25">
      <c r="A249" s="8">
        <v>238</v>
      </c>
      <c r="B249" s="9">
        <v>51657</v>
      </c>
      <c r="C249" s="5">
        <f t="shared" si="27"/>
        <v>102500.00000000003</v>
      </c>
      <c r="D249" s="10">
        <f t="shared" si="23"/>
        <v>638.76963938091967</v>
      </c>
      <c r="E249" s="3">
        <f t="shared" si="24"/>
        <v>103138.76963938095</v>
      </c>
      <c r="F249" s="3">
        <f t="shared" si="21"/>
        <v>833.33333333333337</v>
      </c>
      <c r="G249" s="5">
        <f t="shared" si="25"/>
        <v>1472.1029727142532</v>
      </c>
      <c r="H249" s="5">
        <v>0</v>
      </c>
      <c r="I249" s="5">
        <f t="shared" si="26"/>
        <v>1472.1029727142532</v>
      </c>
      <c r="J249" s="5">
        <f t="shared" si="22"/>
        <v>101666.66666666669</v>
      </c>
      <c r="K249" s="2"/>
    </row>
    <row r="250" spans="1:11" x14ac:dyDescent="0.25">
      <c r="A250" s="8">
        <v>239</v>
      </c>
      <c r="B250" s="9">
        <v>51687</v>
      </c>
      <c r="C250" s="5">
        <f t="shared" si="27"/>
        <v>101666.66666666669</v>
      </c>
      <c r="D250" s="10">
        <f t="shared" si="23"/>
        <v>633.57639028026165</v>
      </c>
      <c r="E250" s="3">
        <f t="shared" si="24"/>
        <v>102300.24305694694</v>
      </c>
      <c r="F250" s="3">
        <f t="shared" si="21"/>
        <v>833.33333333333337</v>
      </c>
      <c r="G250" s="5">
        <f t="shared" si="25"/>
        <v>1466.9097236135949</v>
      </c>
      <c r="H250" s="5">
        <v>0</v>
      </c>
      <c r="I250" s="5">
        <f t="shared" si="26"/>
        <v>1466.9097236135949</v>
      </c>
      <c r="J250" s="5">
        <f t="shared" si="22"/>
        <v>100833.33333333334</v>
      </c>
      <c r="K250" s="2"/>
    </row>
    <row r="251" spans="1:11" x14ac:dyDescent="0.25">
      <c r="A251" s="8">
        <v>240</v>
      </c>
      <c r="B251" s="9">
        <v>51718</v>
      </c>
      <c r="C251" s="5">
        <f t="shared" si="27"/>
        <v>100833.33333333334</v>
      </c>
      <c r="D251" s="10">
        <f t="shared" si="23"/>
        <v>628.38314117960374</v>
      </c>
      <c r="E251" s="3">
        <f t="shared" si="24"/>
        <v>101461.71647451294</v>
      </c>
      <c r="F251" s="3">
        <f t="shared" si="21"/>
        <v>833.33333333333337</v>
      </c>
      <c r="G251" s="5">
        <f t="shared" si="25"/>
        <v>1461.7164745129371</v>
      </c>
      <c r="H251" s="5">
        <v>0</v>
      </c>
      <c r="I251" s="5">
        <f t="shared" si="26"/>
        <v>1461.7164745129371</v>
      </c>
      <c r="J251" s="5">
        <f t="shared" si="22"/>
        <v>100000</v>
      </c>
      <c r="K251" s="2"/>
    </row>
    <row r="252" spans="1:11" x14ac:dyDescent="0.25">
      <c r="A252" s="8">
        <v>241</v>
      </c>
      <c r="B252" s="9">
        <v>51749</v>
      </c>
      <c r="C252" s="5">
        <f t="shared" si="27"/>
        <v>100000</v>
      </c>
      <c r="D252" s="10">
        <f t="shared" si="23"/>
        <v>623.18989207894583</v>
      </c>
      <c r="E252" s="3">
        <f t="shared" si="24"/>
        <v>100623.18989207894</v>
      </c>
      <c r="F252" s="3">
        <f t="shared" si="21"/>
        <v>833.33333333333337</v>
      </c>
      <c r="G252" s="5">
        <f t="shared" si="25"/>
        <v>1456.5232254122793</v>
      </c>
      <c r="H252" s="5">
        <v>0</v>
      </c>
      <c r="I252" s="5">
        <f t="shared" si="26"/>
        <v>1456.5232254122793</v>
      </c>
      <c r="J252" s="5">
        <f t="shared" si="22"/>
        <v>99166.666666666657</v>
      </c>
      <c r="K252" s="2"/>
    </row>
    <row r="253" spans="1:11" x14ac:dyDescent="0.25">
      <c r="A253" s="8">
        <v>242</v>
      </c>
      <c r="B253" s="9">
        <v>51779</v>
      </c>
      <c r="C253" s="5">
        <f t="shared" si="27"/>
        <v>99166.666666666657</v>
      </c>
      <c r="D253" s="10">
        <f t="shared" si="23"/>
        <v>617.99664297828792</v>
      </c>
      <c r="E253" s="3">
        <f t="shared" si="24"/>
        <v>99784.663309644951</v>
      </c>
      <c r="F253" s="3">
        <f t="shared" si="21"/>
        <v>833.33333333333337</v>
      </c>
      <c r="G253" s="5">
        <f t="shared" si="25"/>
        <v>1451.3299763116213</v>
      </c>
      <c r="H253" s="5">
        <v>0</v>
      </c>
      <c r="I253" s="5">
        <f t="shared" si="26"/>
        <v>1451.3299763116213</v>
      </c>
      <c r="J253" s="5">
        <f t="shared" si="22"/>
        <v>98333.333333333328</v>
      </c>
      <c r="K253" s="2"/>
    </row>
    <row r="254" spans="1:11" x14ac:dyDescent="0.25">
      <c r="A254" s="8">
        <v>243</v>
      </c>
      <c r="B254" s="9">
        <v>51810</v>
      </c>
      <c r="C254" s="5">
        <f t="shared" si="27"/>
        <v>98333.333333333328</v>
      </c>
      <c r="D254" s="10">
        <f t="shared" si="23"/>
        <v>612.80339387763001</v>
      </c>
      <c r="E254" s="3">
        <f t="shared" si="24"/>
        <v>98946.136727210964</v>
      </c>
      <c r="F254" s="3">
        <f t="shared" si="21"/>
        <v>833.33333333333337</v>
      </c>
      <c r="G254" s="5">
        <f t="shared" si="25"/>
        <v>1446.1367272109633</v>
      </c>
      <c r="H254" s="5">
        <v>0</v>
      </c>
      <c r="I254" s="5">
        <f t="shared" si="26"/>
        <v>1446.1367272109633</v>
      </c>
      <c r="J254" s="5">
        <f t="shared" si="22"/>
        <v>97500</v>
      </c>
      <c r="K254" s="2"/>
    </row>
    <row r="255" spans="1:11" x14ac:dyDescent="0.25">
      <c r="A255" s="8">
        <v>244</v>
      </c>
      <c r="B255" s="9">
        <v>51840</v>
      </c>
      <c r="C255" s="5">
        <f t="shared" si="27"/>
        <v>97500</v>
      </c>
      <c r="D255" s="10">
        <f t="shared" si="23"/>
        <v>607.61014477697222</v>
      </c>
      <c r="E255" s="3">
        <f t="shared" si="24"/>
        <v>98107.610144776976</v>
      </c>
      <c r="F255" s="3">
        <f t="shared" si="21"/>
        <v>833.33333333333337</v>
      </c>
      <c r="G255" s="5">
        <f t="shared" si="25"/>
        <v>1440.9434781103055</v>
      </c>
      <c r="H255" s="5">
        <v>0</v>
      </c>
      <c r="I255" s="5">
        <f t="shared" si="26"/>
        <v>1440.9434781103055</v>
      </c>
      <c r="J255" s="5">
        <f t="shared" si="22"/>
        <v>96666.666666666672</v>
      </c>
      <c r="K255" s="2"/>
    </row>
    <row r="256" spans="1:11" x14ac:dyDescent="0.25">
      <c r="A256" s="8">
        <v>245</v>
      </c>
      <c r="B256" s="9">
        <v>51871</v>
      </c>
      <c r="C256" s="5">
        <f t="shared" si="27"/>
        <v>96666.666666666672</v>
      </c>
      <c r="D256" s="10">
        <f t="shared" si="23"/>
        <v>602.41689567631431</v>
      </c>
      <c r="E256" s="3">
        <f t="shared" si="24"/>
        <v>97269.083562342988</v>
      </c>
      <c r="F256" s="3">
        <f t="shared" si="21"/>
        <v>833.33333333333337</v>
      </c>
      <c r="G256" s="5">
        <f t="shared" si="25"/>
        <v>1435.7502290096477</v>
      </c>
      <c r="H256" s="5">
        <v>0</v>
      </c>
      <c r="I256" s="5">
        <f t="shared" si="26"/>
        <v>1435.7502290096477</v>
      </c>
      <c r="J256" s="5">
        <f t="shared" si="22"/>
        <v>95833.333333333343</v>
      </c>
      <c r="K256" s="2"/>
    </row>
    <row r="257" spans="1:11" x14ac:dyDescent="0.25">
      <c r="A257" s="8">
        <v>246</v>
      </c>
      <c r="B257" s="9">
        <v>51902</v>
      </c>
      <c r="C257" s="5">
        <f t="shared" si="27"/>
        <v>95833.333333333343</v>
      </c>
      <c r="D257" s="10">
        <f t="shared" si="23"/>
        <v>597.22364657565652</v>
      </c>
      <c r="E257" s="3">
        <f t="shared" si="24"/>
        <v>96430.556979909001</v>
      </c>
      <c r="F257" s="3">
        <f t="shared" si="21"/>
        <v>833.33333333333337</v>
      </c>
      <c r="G257" s="5">
        <f t="shared" si="25"/>
        <v>1430.5569799089899</v>
      </c>
      <c r="H257" s="5">
        <v>0</v>
      </c>
      <c r="I257" s="5">
        <f t="shared" si="26"/>
        <v>1430.5569799089899</v>
      </c>
      <c r="J257" s="5">
        <f t="shared" si="22"/>
        <v>95000.000000000015</v>
      </c>
      <c r="K257" s="2"/>
    </row>
    <row r="258" spans="1:11" x14ac:dyDescent="0.25">
      <c r="A258" s="8">
        <v>247</v>
      </c>
      <c r="B258" s="9">
        <v>51930</v>
      </c>
      <c r="C258" s="5">
        <f t="shared" si="27"/>
        <v>95000.000000000015</v>
      </c>
      <c r="D258" s="10">
        <f t="shared" si="23"/>
        <v>592.03039747499861</v>
      </c>
      <c r="E258" s="3">
        <f t="shared" si="24"/>
        <v>95592.030397475013</v>
      </c>
      <c r="F258" s="3">
        <f t="shared" si="21"/>
        <v>833.33333333333337</v>
      </c>
      <c r="G258" s="5">
        <f t="shared" si="25"/>
        <v>1425.3637308083321</v>
      </c>
      <c r="H258" s="5">
        <v>0</v>
      </c>
      <c r="I258" s="5">
        <f t="shared" si="26"/>
        <v>1425.3637308083321</v>
      </c>
      <c r="J258" s="5">
        <f t="shared" si="22"/>
        <v>94166.666666666686</v>
      </c>
      <c r="K258" s="2"/>
    </row>
    <row r="259" spans="1:11" x14ac:dyDescent="0.25">
      <c r="A259" s="8">
        <v>248</v>
      </c>
      <c r="B259" s="9">
        <v>51961</v>
      </c>
      <c r="C259" s="5">
        <f t="shared" si="27"/>
        <v>94166.666666666686</v>
      </c>
      <c r="D259" s="10">
        <f t="shared" si="23"/>
        <v>586.83714837434081</v>
      </c>
      <c r="E259" s="3">
        <f t="shared" si="24"/>
        <v>94753.503815041026</v>
      </c>
      <c r="F259" s="3">
        <f t="shared" si="21"/>
        <v>833.33333333333337</v>
      </c>
      <c r="G259" s="5">
        <f t="shared" si="25"/>
        <v>1420.1704817076743</v>
      </c>
      <c r="H259" s="5">
        <v>0</v>
      </c>
      <c r="I259" s="5">
        <f t="shared" si="26"/>
        <v>1420.1704817076743</v>
      </c>
      <c r="J259" s="5">
        <f t="shared" si="22"/>
        <v>93333.333333333358</v>
      </c>
      <c r="K259" s="2"/>
    </row>
    <row r="260" spans="1:11" x14ac:dyDescent="0.25">
      <c r="A260" s="8">
        <v>249</v>
      </c>
      <c r="B260" s="9">
        <v>51991</v>
      </c>
      <c r="C260" s="5">
        <f t="shared" si="27"/>
        <v>93333.333333333358</v>
      </c>
      <c r="D260" s="10">
        <f t="shared" si="23"/>
        <v>581.64389927368291</v>
      </c>
      <c r="E260" s="3">
        <f t="shared" si="24"/>
        <v>93914.977232607038</v>
      </c>
      <c r="F260" s="3">
        <f t="shared" si="21"/>
        <v>833.33333333333337</v>
      </c>
      <c r="G260" s="5">
        <f t="shared" si="25"/>
        <v>1414.9772326070163</v>
      </c>
      <c r="H260" s="5">
        <v>0</v>
      </c>
      <c r="I260" s="5">
        <f t="shared" si="26"/>
        <v>1414.9772326070163</v>
      </c>
      <c r="J260" s="5">
        <f t="shared" si="22"/>
        <v>92500.000000000015</v>
      </c>
      <c r="K260" s="2"/>
    </row>
    <row r="261" spans="1:11" x14ac:dyDescent="0.25">
      <c r="A261" s="8">
        <v>250</v>
      </c>
      <c r="B261" s="9">
        <v>52022</v>
      </c>
      <c r="C261" s="5">
        <f t="shared" si="27"/>
        <v>92500.000000000015</v>
      </c>
      <c r="D261" s="10">
        <f t="shared" si="23"/>
        <v>576.450650173025</v>
      </c>
      <c r="E261" s="3">
        <f t="shared" si="24"/>
        <v>93076.450650173036</v>
      </c>
      <c r="F261" s="3">
        <f t="shared" si="21"/>
        <v>833.33333333333337</v>
      </c>
      <c r="G261" s="5">
        <f t="shared" si="25"/>
        <v>1409.7839835063583</v>
      </c>
      <c r="H261" s="5">
        <v>0</v>
      </c>
      <c r="I261" s="5">
        <f t="shared" si="26"/>
        <v>1409.7839835063583</v>
      </c>
      <c r="J261" s="5">
        <f t="shared" si="22"/>
        <v>91666.666666666672</v>
      </c>
      <c r="K261" s="2"/>
    </row>
    <row r="262" spans="1:11" x14ac:dyDescent="0.25">
      <c r="A262" s="8">
        <v>251</v>
      </c>
      <c r="B262" s="9">
        <v>52052</v>
      </c>
      <c r="C262" s="5">
        <f t="shared" si="27"/>
        <v>91666.666666666672</v>
      </c>
      <c r="D262" s="10">
        <f t="shared" si="23"/>
        <v>571.25740107236697</v>
      </c>
      <c r="E262" s="3">
        <f t="shared" si="24"/>
        <v>92237.924067739033</v>
      </c>
      <c r="F262" s="3">
        <f t="shared" si="21"/>
        <v>833.33333333333337</v>
      </c>
      <c r="G262" s="5">
        <f t="shared" si="25"/>
        <v>1404.5907344057005</v>
      </c>
      <c r="H262" s="5">
        <v>0</v>
      </c>
      <c r="I262" s="5">
        <f t="shared" si="26"/>
        <v>1404.5907344057005</v>
      </c>
      <c r="J262" s="5">
        <f t="shared" si="22"/>
        <v>90833.333333333328</v>
      </c>
      <c r="K262" s="2"/>
    </row>
    <row r="263" spans="1:11" x14ac:dyDescent="0.25">
      <c r="A263" s="8">
        <v>252</v>
      </c>
      <c r="B263" s="9">
        <v>52083</v>
      </c>
      <c r="C263" s="5">
        <f t="shared" si="27"/>
        <v>90833.333333333328</v>
      </c>
      <c r="D263" s="10">
        <f t="shared" si="23"/>
        <v>566.06415197170907</v>
      </c>
      <c r="E263" s="3">
        <f t="shared" si="24"/>
        <v>91399.397485305031</v>
      </c>
      <c r="F263" s="3">
        <f t="shared" si="21"/>
        <v>833.33333333333337</v>
      </c>
      <c r="G263" s="5">
        <f t="shared" si="25"/>
        <v>1399.3974853050424</v>
      </c>
      <c r="H263" s="5">
        <v>0</v>
      </c>
      <c r="I263" s="5">
        <f t="shared" si="26"/>
        <v>1399.3974853050424</v>
      </c>
      <c r="J263" s="5">
        <f t="shared" si="22"/>
        <v>89999.999999999985</v>
      </c>
      <c r="K263" s="2"/>
    </row>
    <row r="264" spans="1:11" x14ac:dyDescent="0.25">
      <c r="A264" s="8">
        <v>253</v>
      </c>
      <c r="B264" s="9">
        <v>52114</v>
      </c>
      <c r="C264" s="5">
        <f t="shared" si="27"/>
        <v>89999.999999999985</v>
      </c>
      <c r="D264" s="10">
        <f t="shared" si="23"/>
        <v>560.87090287105116</v>
      </c>
      <c r="E264" s="3">
        <f t="shared" si="24"/>
        <v>90560.870902871044</v>
      </c>
      <c r="F264" s="3">
        <f t="shared" si="21"/>
        <v>833.33333333333337</v>
      </c>
      <c r="G264" s="5">
        <f t="shared" si="25"/>
        <v>1394.2042362043844</v>
      </c>
      <c r="H264" s="5">
        <v>0</v>
      </c>
      <c r="I264" s="5">
        <f t="shared" si="26"/>
        <v>1394.2042362043844</v>
      </c>
      <c r="J264" s="5">
        <f t="shared" si="22"/>
        <v>89166.666666666657</v>
      </c>
      <c r="K264" s="2"/>
    </row>
    <row r="265" spans="1:11" x14ac:dyDescent="0.25">
      <c r="A265" s="8">
        <v>254</v>
      </c>
      <c r="B265" s="9">
        <v>52144</v>
      </c>
      <c r="C265" s="5">
        <f t="shared" si="27"/>
        <v>89166.666666666657</v>
      </c>
      <c r="D265" s="10">
        <f t="shared" si="23"/>
        <v>555.67765377039325</v>
      </c>
      <c r="E265" s="3">
        <f t="shared" si="24"/>
        <v>89722.344320437056</v>
      </c>
      <c r="F265" s="3">
        <f t="shared" si="21"/>
        <v>833.33333333333337</v>
      </c>
      <c r="G265" s="5">
        <f t="shared" si="25"/>
        <v>1389.0109871037266</v>
      </c>
      <c r="H265" s="5">
        <v>0</v>
      </c>
      <c r="I265" s="5">
        <f t="shared" si="26"/>
        <v>1389.0109871037266</v>
      </c>
      <c r="J265" s="5">
        <f t="shared" si="22"/>
        <v>88333.333333333328</v>
      </c>
      <c r="K265" s="2"/>
    </row>
    <row r="266" spans="1:11" x14ac:dyDescent="0.25">
      <c r="A266" s="8">
        <v>255</v>
      </c>
      <c r="B266" s="9">
        <v>52175</v>
      </c>
      <c r="C266" s="5">
        <f t="shared" si="27"/>
        <v>88333.333333333328</v>
      </c>
      <c r="D266" s="10">
        <f t="shared" si="23"/>
        <v>550.48440466973545</v>
      </c>
      <c r="E266" s="3">
        <f t="shared" si="24"/>
        <v>88883.817738003068</v>
      </c>
      <c r="F266" s="3">
        <f t="shared" si="21"/>
        <v>833.33333333333337</v>
      </c>
      <c r="G266" s="5">
        <f t="shared" si="25"/>
        <v>1383.8177380030688</v>
      </c>
      <c r="H266" s="5">
        <v>0</v>
      </c>
      <c r="I266" s="5">
        <f t="shared" si="26"/>
        <v>1383.8177380030688</v>
      </c>
      <c r="J266" s="5">
        <f t="shared" si="22"/>
        <v>87500</v>
      </c>
      <c r="K266" s="2"/>
    </row>
    <row r="267" spans="1:11" x14ac:dyDescent="0.25">
      <c r="A267" s="8">
        <v>256</v>
      </c>
      <c r="B267" s="9">
        <v>52205</v>
      </c>
      <c r="C267" s="5">
        <f t="shared" si="27"/>
        <v>87500</v>
      </c>
      <c r="D267" s="10">
        <f t="shared" si="23"/>
        <v>545.29115556907755</v>
      </c>
      <c r="E267" s="3">
        <f t="shared" si="24"/>
        <v>88045.291155569081</v>
      </c>
      <c r="F267" s="3">
        <f t="shared" si="21"/>
        <v>833.33333333333337</v>
      </c>
      <c r="G267" s="5">
        <f t="shared" si="25"/>
        <v>1378.624488902411</v>
      </c>
      <c r="H267" s="5">
        <v>0</v>
      </c>
      <c r="I267" s="5">
        <f t="shared" si="26"/>
        <v>1378.624488902411</v>
      </c>
      <c r="J267" s="5">
        <f t="shared" si="22"/>
        <v>86666.666666666672</v>
      </c>
      <c r="K267" s="2"/>
    </row>
    <row r="268" spans="1:11" x14ac:dyDescent="0.25">
      <c r="A268" s="8">
        <v>257</v>
      </c>
      <c r="B268" s="9">
        <v>52236</v>
      </c>
      <c r="C268" s="5">
        <f t="shared" si="27"/>
        <v>86666.666666666672</v>
      </c>
      <c r="D268" s="10">
        <f t="shared" si="23"/>
        <v>540.09790646841975</v>
      </c>
      <c r="E268" s="3">
        <f t="shared" si="24"/>
        <v>87206.764573135093</v>
      </c>
      <c r="F268" s="3">
        <f t="shared" ref="F268:F331" si="28">$C$4/$C$8</f>
        <v>833.33333333333337</v>
      </c>
      <c r="G268" s="5">
        <f t="shared" si="25"/>
        <v>1373.4312398017532</v>
      </c>
      <c r="H268" s="5">
        <v>0</v>
      </c>
      <c r="I268" s="5">
        <f t="shared" si="26"/>
        <v>1373.4312398017532</v>
      </c>
      <c r="J268" s="5">
        <f t="shared" ref="J268:J331" si="29">E268-I268</f>
        <v>85833.333333333343</v>
      </c>
      <c r="K268" s="2"/>
    </row>
    <row r="269" spans="1:11" x14ac:dyDescent="0.25">
      <c r="A269" s="8">
        <v>258</v>
      </c>
      <c r="B269" s="9">
        <v>52267</v>
      </c>
      <c r="C269" s="5">
        <f t="shared" si="27"/>
        <v>85833.333333333343</v>
      </c>
      <c r="D269" s="10">
        <f t="shared" ref="D269:D332" si="30">C269*$C$6</f>
        <v>534.90465736776184</v>
      </c>
      <c r="E269" s="3">
        <f t="shared" ref="E269:E332" si="31">C269+D269</f>
        <v>86368.237990701105</v>
      </c>
      <c r="F269" s="3">
        <f t="shared" si="28"/>
        <v>833.33333333333337</v>
      </c>
      <c r="G269" s="5">
        <f t="shared" ref="G269:G332" si="32">F269+D269</f>
        <v>1368.2379907010952</v>
      </c>
      <c r="H269" s="5">
        <v>0</v>
      </c>
      <c r="I269" s="5">
        <f t="shared" ref="I269:I332" si="33">H269+G269</f>
        <v>1368.2379907010952</v>
      </c>
      <c r="J269" s="5">
        <f t="shared" si="29"/>
        <v>85000.000000000015</v>
      </c>
      <c r="K269" s="2"/>
    </row>
    <row r="270" spans="1:11" x14ac:dyDescent="0.25">
      <c r="A270" s="8">
        <v>259</v>
      </c>
      <c r="B270" s="9">
        <v>52295</v>
      </c>
      <c r="C270" s="5">
        <f t="shared" ref="C270:C333" si="34">J269</f>
        <v>85000.000000000015</v>
      </c>
      <c r="D270" s="10">
        <f t="shared" si="30"/>
        <v>529.71140826710405</v>
      </c>
      <c r="E270" s="3">
        <f t="shared" si="31"/>
        <v>85529.711408267118</v>
      </c>
      <c r="F270" s="3">
        <f t="shared" si="28"/>
        <v>833.33333333333337</v>
      </c>
      <c r="G270" s="5">
        <f t="shared" si="32"/>
        <v>1363.0447416004374</v>
      </c>
      <c r="H270" s="5">
        <v>0</v>
      </c>
      <c r="I270" s="5">
        <f t="shared" si="33"/>
        <v>1363.0447416004374</v>
      </c>
      <c r="J270" s="5">
        <f t="shared" si="29"/>
        <v>84166.666666666686</v>
      </c>
      <c r="K270" s="2"/>
    </row>
    <row r="271" spans="1:11" x14ac:dyDescent="0.25">
      <c r="A271" s="8">
        <v>260</v>
      </c>
      <c r="B271" s="9">
        <v>52326</v>
      </c>
      <c r="C271" s="5">
        <f t="shared" si="34"/>
        <v>84166.666666666686</v>
      </c>
      <c r="D271" s="10">
        <f t="shared" si="30"/>
        <v>524.51815916644614</v>
      </c>
      <c r="E271" s="3">
        <f t="shared" si="31"/>
        <v>84691.18482583313</v>
      </c>
      <c r="F271" s="3">
        <f t="shared" si="28"/>
        <v>833.33333333333337</v>
      </c>
      <c r="G271" s="5">
        <f t="shared" si="32"/>
        <v>1357.8514924997794</v>
      </c>
      <c r="H271" s="5">
        <v>0</v>
      </c>
      <c r="I271" s="5">
        <f t="shared" si="33"/>
        <v>1357.8514924997794</v>
      </c>
      <c r="J271" s="5">
        <f t="shared" si="29"/>
        <v>83333.333333333358</v>
      </c>
      <c r="K271" s="2"/>
    </row>
    <row r="272" spans="1:11" x14ac:dyDescent="0.25">
      <c r="A272" s="8">
        <v>261</v>
      </c>
      <c r="B272" s="9">
        <v>52356</v>
      </c>
      <c r="C272" s="5">
        <f t="shared" si="34"/>
        <v>83333.333333333358</v>
      </c>
      <c r="D272" s="10">
        <f t="shared" si="30"/>
        <v>519.32491006578834</v>
      </c>
      <c r="E272" s="3">
        <f t="shared" si="31"/>
        <v>83852.658243399143</v>
      </c>
      <c r="F272" s="3">
        <f t="shared" si="28"/>
        <v>833.33333333333337</v>
      </c>
      <c r="G272" s="5">
        <f t="shared" si="32"/>
        <v>1352.6582433991216</v>
      </c>
      <c r="H272" s="5">
        <v>0</v>
      </c>
      <c r="I272" s="5">
        <f t="shared" si="33"/>
        <v>1352.6582433991216</v>
      </c>
      <c r="J272" s="5">
        <f t="shared" si="29"/>
        <v>82500.000000000015</v>
      </c>
      <c r="K272" s="2"/>
    </row>
    <row r="273" spans="1:11" x14ac:dyDescent="0.25">
      <c r="A273" s="8">
        <v>262</v>
      </c>
      <c r="B273" s="9">
        <v>52387</v>
      </c>
      <c r="C273" s="5">
        <f t="shared" si="34"/>
        <v>82500.000000000015</v>
      </c>
      <c r="D273" s="10">
        <f t="shared" si="30"/>
        <v>514.13166096513044</v>
      </c>
      <c r="E273" s="3">
        <f t="shared" si="31"/>
        <v>83014.13166096514</v>
      </c>
      <c r="F273" s="3">
        <f t="shared" si="28"/>
        <v>833.33333333333337</v>
      </c>
      <c r="G273" s="5">
        <f t="shared" si="32"/>
        <v>1347.4649942984638</v>
      </c>
      <c r="H273" s="5">
        <v>0</v>
      </c>
      <c r="I273" s="5">
        <f t="shared" si="33"/>
        <v>1347.4649942984638</v>
      </c>
      <c r="J273" s="5">
        <f t="shared" si="29"/>
        <v>81666.666666666672</v>
      </c>
      <c r="K273" s="2"/>
    </row>
    <row r="274" spans="1:11" x14ac:dyDescent="0.25">
      <c r="A274" s="8">
        <v>263</v>
      </c>
      <c r="B274" s="9">
        <v>52417</v>
      </c>
      <c r="C274" s="5">
        <f t="shared" si="34"/>
        <v>81666.666666666672</v>
      </c>
      <c r="D274" s="10">
        <f t="shared" si="30"/>
        <v>508.93841186447247</v>
      </c>
      <c r="E274" s="3">
        <f t="shared" si="31"/>
        <v>82175.605078531138</v>
      </c>
      <c r="F274" s="3">
        <f t="shared" si="28"/>
        <v>833.33333333333337</v>
      </c>
      <c r="G274" s="5">
        <f t="shared" si="32"/>
        <v>1342.2717451978058</v>
      </c>
      <c r="H274" s="5">
        <v>0</v>
      </c>
      <c r="I274" s="5">
        <f t="shared" si="33"/>
        <v>1342.2717451978058</v>
      </c>
      <c r="J274" s="5">
        <f t="shared" si="29"/>
        <v>80833.333333333328</v>
      </c>
      <c r="K274" s="2"/>
    </row>
    <row r="275" spans="1:11" x14ac:dyDescent="0.25">
      <c r="A275" s="8">
        <v>264</v>
      </c>
      <c r="B275" s="9">
        <v>52448</v>
      </c>
      <c r="C275" s="5">
        <f t="shared" si="34"/>
        <v>80833.333333333328</v>
      </c>
      <c r="D275" s="10">
        <f t="shared" si="30"/>
        <v>503.74516276381451</v>
      </c>
      <c r="E275" s="3">
        <f t="shared" si="31"/>
        <v>81337.078496097136</v>
      </c>
      <c r="F275" s="3">
        <f t="shared" si="28"/>
        <v>833.33333333333337</v>
      </c>
      <c r="G275" s="5">
        <f t="shared" si="32"/>
        <v>1337.0784960971478</v>
      </c>
      <c r="H275" s="5">
        <v>0</v>
      </c>
      <c r="I275" s="5">
        <f t="shared" si="33"/>
        <v>1337.0784960971478</v>
      </c>
      <c r="J275" s="5">
        <f t="shared" si="29"/>
        <v>79999.999999999985</v>
      </c>
      <c r="K275" s="2"/>
    </row>
    <row r="276" spans="1:11" x14ac:dyDescent="0.25">
      <c r="A276" s="8">
        <v>265</v>
      </c>
      <c r="B276" s="9">
        <v>52479</v>
      </c>
      <c r="C276" s="5">
        <f t="shared" si="34"/>
        <v>79999.999999999985</v>
      </c>
      <c r="D276" s="10">
        <f t="shared" si="30"/>
        <v>498.55191366315654</v>
      </c>
      <c r="E276" s="3">
        <f t="shared" si="31"/>
        <v>80498.551913663148</v>
      </c>
      <c r="F276" s="3">
        <f t="shared" si="28"/>
        <v>833.33333333333337</v>
      </c>
      <c r="G276" s="5">
        <f t="shared" si="32"/>
        <v>1331.88524699649</v>
      </c>
      <c r="H276" s="5">
        <v>0</v>
      </c>
      <c r="I276" s="5">
        <f t="shared" si="33"/>
        <v>1331.88524699649</v>
      </c>
      <c r="J276" s="5">
        <f t="shared" si="29"/>
        <v>79166.666666666657</v>
      </c>
      <c r="K276" s="2"/>
    </row>
    <row r="277" spans="1:11" x14ac:dyDescent="0.25">
      <c r="A277" s="8">
        <v>266</v>
      </c>
      <c r="B277" s="9">
        <v>52509</v>
      </c>
      <c r="C277" s="5">
        <f t="shared" si="34"/>
        <v>79166.666666666657</v>
      </c>
      <c r="D277" s="10">
        <f t="shared" si="30"/>
        <v>493.35866456249869</v>
      </c>
      <c r="E277" s="3">
        <f t="shared" si="31"/>
        <v>79660.025331229161</v>
      </c>
      <c r="F277" s="3">
        <f t="shared" si="28"/>
        <v>833.33333333333337</v>
      </c>
      <c r="G277" s="5">
        <f t="shared" si="32"/>
        <v>1326.6919978958322</v>
      </c>
      <c r="H277" s="5">
        <v>0</v>
      </c>
      <c r="I277" s="5">
        <f t="shared" si="33"/>
        <v>1326.6919978958322</v>
      </c>
      <c r="J277" s="5">
        <f t="shared" si="29"/>
        <v>78333.333333333328</v>
      </c>
      <c r="K277" s="2"/>
    </row>
    <row r="278" spans="1:11" x14ac:dyDescent="0.25">
      <c r="A278" s="8">
        <v>267</v>
      </c>
      <c r="B278" s="9">
        <v>52540</v>
      </c>
      <c r="C278" s="5">
        <f t="shared" si="34"/>
        <v>78333.333333333328</v>
      </c>
      <c r="D278" s="10">
        <f t="shared" si="30"/>
        <v>488.16541546184084</v>
      </c>
      <c r="E278" s="3">
        <f t="shared" si="31"/>
        <v>78821.498748795173</v>
      </c>
      <c r="F278" s="3">
        <f t="shared" si="28"/>
        <v>833.33333333333337</v>
      </c>
      <c r="G278" s="5">
        <f t="shared" si="32"/>
        <v>1321.4987487951742</v>
      </c>
      <c r="H278" s="5">
        <v>0</v>
      </c>
      <c r="I278" s="5">
        <f t="shared" si="33"/>
        <v>1321.4987487951742</v>
      </c>
      <c r="J278" s="5">
        <f t="shared" si="29"/>
        <v>77500</v>
      </c>
      <c r="K278" s="2"/>
    </row>
    <row r="279" spans="1:11" x14ac:dyDescent="0.25">
      <c r="A279" s="8">
        <v>268</v>
      </c>
      <c r="B279" s="9">
        <v>52570</v>
      </c>
      <c r="C279" s="5">
        <f t="shared" si="34"/>
        <v>77500</v>
      </c>
      <c r="D279" s="10">
        <f t="shared" si="30"/>
        <v>482.97216636118299</v>
      </c>
      <c r="E279" s="3">
        <f t="shared" si="31"/>
        <v>77982.972166361185</v>
      </c>
      <c r="F279" s="3">
        <f t="shared" si="28"/>
        <v>833.33333333333337</v>
      </c>
      <c r="G279" s="5">
        <f t="shared" si="32"/>
        <v>1316.3054996945164</v>
      </c>
      <c r="H279" s="5">
        <v>0</v>
      </c>
      <c r="I279" s="5">
        <f t="shared" si="33"/>
        <v>1316.3054996945164</v>
      </c>
      <c r="J279" s="5">
        <f t="shared" si="29"/>
        <v>76666.666666666672</v>
      </c>
      <c r="K279" s="2"/>
    </row>
    <row r="280" spans="1:11" x14ac:dyDescent="0.25">
      <c r="A280" s="8">
        <v>269</v>
      </c>
      <c r="B280" s="9">
        <v>52601</v>
      </c>
      <c r="C280" s="5">
        <f t="shared" si="34"/>
        <v>76666.666666666672</v>
      </c>
      <c r="D280" s="10">
        <f t="shared" si="30"/>
        <v>477.77891726052513</v>
      </c>
      <c r="E280" s="3">
        <f t="shared" si="31"/>
        <v>77144.445583927198</v>
      </c>
      <c r="F280" s="3">
        <f t="shared" si="28"/>
        <v>833.33333333333337</v>
      </c>
      <c r="G280" s="5">
        <f t="shared" si="32"/>
        <v>1311.1122505938586</v>
      </c>
      <c r="H280" s="5">
        <v>0</v>
      </c>
      <c r="I280" s="5">
        <f t="shared" si="33"/>
        <v>1311.1122505938586</v>
      </c>
      <c r="J280" s="5">
        <f t="shared" si="29"/>
        <v>75833.333333333343</v>
      </c>
      <c r="K280" s="2"/>
    </row>
    <row r="281" spans="1:11" x14ac:dyDescent="0.25">
      <c r="A281" s="8">
        <v>270</v>
      </c>
      <c r="B281" s="9">
        <v>52632</v>
      </c>
      <c r="C281" s="5">
        <f t="shared" si="34"/>
        <v>75833.333333333343</v>
      </c>
      <c r="D281" s="10">
        <f t="shared" si="30"/>
        <v>472.58566815986728</v>
      </c>
      <c r="E281" s="3">
        <f t="shared" si="31"/>
        <v>76305.91900149321</v>
      </c>
      <c r="F281" s="3">
        <f t="shared" si="28"/>
        <v>833.33333333333337</v>
      </c>
      <c r="G281" s="5">
        <f t="shared" si="32"/>
        <v>1305.9190014932005</v>
      </c>
      <c r="H281" s="5">
        <v>0</v>
      </c>
      <c r="I281" s="5">
        <f t="shared" si="33"/>
        <v>1305.9190014932005</v>
      </c>
      <c r="J281" s="5">
        <f t="shared" si="29"/>
        <v>75000.000000000015</v>
      </c>
      <c r="K281" s="2"/>
    </row>
    <row r="282" spans="1:11" x14ac:dyDescent="0.25">
      <c r="A282" s="8">
        <v>271</v>
      </c>
      <c r="B282" s="9">
        <v>52661</v>
      </c>
      <c r="C282" s="5">
        <f t="shared" si="34"/>
        <v>75000.000000000015</v>
      </c>
      <c r="D282" s="10">
        <f t="shared" si="30"/>
        <v>467.39241905920943</v>
      </c>
      <c r="E282" s="3">
        <f t="shared" si="31"/>
        <v>75467.392419059222</v>
      </c>
      <c r="F282" s="3">
        <f t="shared" si="28"/>
        <v>833.33333333333337</v>
      </c>
      <c r="G282" s="5">
        <f t="shared" si="32"/>
        <v>1300.7257523925427</v>
      </c>
      <c r="H282" s="5">
        <v>0</v>
      </c>
      <c r="I282" s="5">
        <f t="shared" si="33"/>
        <v>1300.7257523925427</v>
      </c>
      <c r="J282" s="5">
        <f t="shared" si="29"/>
        <v>74166.666666666686</v>
      </c>
      <c r="K282" s="2"/>
    </row>
    <row r="283" spans="1:11" x14ac:dyDescent="0.25">
      <c r="A283" s="8">
        <v>272</v>
      </c>
      <c r="B283" s="9">
        <v>52692</v>
      </c>
      <c r="C283" s="5">
        <f t="shared" si="34"/>
        <v>74166.666666666686</v>
      </c>
      <c r="D283" s="10">
        <f t="shared" si="30"/>
        <v>462.19916995855158</v>
      </c>
      <c r="E283" s="3">
        <f t="shared" si="31"/>
        <v>74628.865836625235</v>
      </c>
      <c r="F283" s="3">
        <f t="shared" si="28"/>
        <v>833.33333333333337</v>
      </c>
      <c r="G283" s="5">
        <f t="shared" si="32"/>
        <v>1295.532503291885</v>
      </c>
      <c r="H283" s="5">
        <v>0</v>
      </c>
      <c r="I283" s="5">
        <f t="shared" si="33"/>
        <v>1295.532503291885</v>
      </c>
      <c r="J283" s="5">
        <f t="shared" si="29"/>
        <v>73333.333333333343</v>
      </c>
      <c r="K283" s="2"/>
    </row>
    <row r="284" spans="1:11" x14ac:dyDescent="0.25">
      <c r="A284" s="8">
        <v>273</v>
      </c>
      <c r="B284" s="9">
        <v>52722</v>
      </c>
      <c r="C284" s="5">
        <f t="shared" si="34"/>
        <v>73333.333333333343</v>
      </c>
      <c r="D284" s="10">
        <f t="shared" si="30"/>
        <v>457.00592085789367</v>
      </c>
      <c r="E284" s="3">
        <f t="shared" si="31"/>
        <v>73790.339254191233</v>
      </c>
      <c r="F284" s="3">
        <f t="shared" si="28"/>
        <v>833.33333333333337</v>
      </c>
      <c r="G284" s="5">
        <f t="shared" si="32"/>
        <v>1290.3392541912272</v>
      </c>
      <c r="H284" s="5">
        <v>0</v>
      </c>
      <c r="I284" s="5">
        <f t="shared" si="33"/>
        <v>1290.3392541912272</v>
      </c>
      <c r="J284" s="5">
        <f t="shared" si="29"/>
        <v>72500</v>
      </c>
      <c r="K284" s="2"/>
    </row>
    <row r="285" spans="1:11" x14ac:dyDescent="0.25">
      <c r="A285" s="8">
        <v>274</v>
      </c>
      <c r="B285" s="9">
        <v>52753</v>
      </c>
      <c r="C285" s="5">
        <f t="shared" si="34"/>
        <v>72500</v>
      </c>
      <c r="D285" s="10">
        <f t="shared" si="30"/>
        <v>451.81267175723571</v>
      </c>
      <c r="E285" s="3">
        <f t="shared" si="31"/>
        <v>72951.81267175723</v>
      </c>
      <c r="F285" s="3">
        <f t="shared" si="28"/>
        <v>833.33333333333337</v>
      </c>
      <c r="G285" s="5">
        <f t="shared" si="32"/>
        <v>1285.1460050905691</v>
      </c>
      <c r="H285" s="5">
        <v>0</v>
      </c>
      <c r="I285" s="5">
        <f t="shared" si="33"/>
        <v>1285.1460050905691</v>
      </c>
      <c r="J285" s="5">
        <f t="shared" si="29"/>
        <v>71666.666666666657</v>
      </c>
      <c r="K285" s="2"/>
    </row>
    <row r="286" spans="1:11" x14ac:dyDescent="0.25">
      <c r="A286" s="8">
        <v>275</v>
      </c>
      <c r="B286" s="9">
        <v>52783</v>
      </c>
      <c r="C286" s="5">
        <f t="shared" si="34"/>
        <v>71666.666666666657</v>
      </c>
      <c r="D286" s="10">
        <f t="shared" si="30"/>
        <v>446.6194226565778</v>
      </c>
      <c r="E286" s="3">
        <f t="shared" si="31"/>
        <v>72113.286089323228</v>
      </c>
      <c r="F286" s="3">
        <f t="shared" si="28"/>
        <v>833.33333333333337</v>
      </c>
      <c r="G286" s="5">
        <f t="shared" si="32"/>
        <v>1279.9527559899111</v>
      </c>
      <c r="H286" s="5">
        <v>0</v>
      </c>
      <c r="I286" s="5">
        <f t="shared" si="33"/>
        <v>1279.9527559899111</v>
      </c>
      <c r="J286" s="5">
        <f t="shared" si="29"/>
        <v>70833.333333333314</v>
      </c>
      <c r="K286" s="2"/>
    </row>
    <row r="287" spans="1:11" x14ac:dyDescent="0.25">
      <c r="A287" s="8">
        <v>276</v>
      </c>
      <c r="B287" s="9">
        <v>52814</v>
      </c>
      <c r="C287" s="5">
        <f t="shared" si="34"/>
        <v>70833.333333333314</v>
      </c>
      <c r="D287" s="10">
        <f t="shared" si="30"/>
        <v>441.42617355591983</v>
      </c>
      <c r="E287" s="3">
        <f t="shared" si="31"/>
        <v>71274.759506889241</v>
      </c>
      <c r="F287" s="3">
        <f t="shared" si="28"/>
        <v>833.33333333333337</v>
      </c>
      <c r="G287" s="5">
        <f t="shared" si="32"/>
        <v>1274.7595068892533</v>
      </c>
      <c r="H287" s="5">
        <v>0</v>
      </c>
      <c r="I287" s="5">
        <f t="shared" si="33"/>
        <v>1274.7595068892533</v>
      </c>
      <c r="J287" s="5">
        <f t="shared" si="29"/>
        <v>69999.999999999985</v>
      </c>
      <c r="K287" s="2"/>
    </row>
    <row r="288" spans="1:11" x14ac:dyDescent="0.25">
      <c r="A288" s="8">
        <v>277</v>
      </c>
      <c r="B288" s="9">
        <v>52845</v>
      </c>
      <c r="C288" s="5">
        <f t="shared" si="34"/>
        <v>69999.999999999985</v>
      </c>
      <c r="D288" s="10">
        <f t="shared" si="30"/>
        <v>436.23292445526198</v>
      </c>
      <c r="E288" s="3">
        <f t="shared" si="31"/>
        <v>70436.232924455253</v>
      </c>
      <c r="F288" s="3">
        <f t="shared" si="28"/>
        <v>833.33333333333337</v>
      </c>
      <c r="G288" s="5">
        <f t="shared" si="32"/>
        <v>1269.5662577885953</v>
      </c>
      <c r="H288" s="5">
        <v>0</v>
      </c>
      <c r="I288" s="5">
        <f t="shared" si="33"/>
        <v>1269.5662577885953</v>
      </c>
      <c r="J288" s="5">
        <f t="shared" si="29"/>
        <v>69166.666666666657</v>
      </c>
      <c r="K288" s="2"/>
    </row>
    <row r="289" spans="1:11" x14ac:dyDescent="0.25">
      <c r="A289" s="8">
        <v>278</v>
      </c>
      <c r="B289" s="9">
        <v>52875</v>
      </c>
      <c r="C289" s="5">
        <f t="shared" si="34"/>
        <v>69166.666666666657</v>
      </c>
      <c r="D289" s="10">
        <f t="shared" si="30"/>
        <v>431.03967535460413</v>
      </c>
      <c r="E289" s="3">
        <f t="shared" si="31"/>
        <v>69597.706342021265</v>
      </c>
      <c r="F289" s="3">
        <f t="shared" si="28"/>
        <v>833.33333333333337</v>
      </c>
      <c r="G289" s="5">
        <f t="shared" si="32"/>
        <v>1264.3730086879375</v>
      </c>
      <c r="H289" s="5">
        <v>0</v>
      </c>
      <c r="I289" s="5">
        <f t="shared" si="33"/>
        <v>1264.3730086879375</v>
      </c>
      <c r="J289" s="5">
        <f t="shared" si="29"/>
        <v>68333.333333333328</v>
      </c>
      <c r="K289" s="2"/>
    </row>
    <row r="290" spans="1:11" x14ac:dyDescent="0.25">
      <c r="A290" s="8">
        <v>279</v>
      </c>
      <c r="B290" s="9">
        <v>52906</v>
      </c>
      <c r="C290" s="5">
        <f t="shared" si="34"/>
        <v>68333.333333333328</v>
      </c>
      <c r="D290" s="10">
        <f t="shared" si="30"/>
        <v>425.84642625394628</v>
      </c>
      <c r="E290" s="3">
        <f t="shared" si="31"/>
        <v>68759.179759587278</v>
      </c>
      <c r="F290" s="3">
        <f t="shared" si="28"/>
        <v>833.33333333333337</v>
      </c>
      <c r="G290" s="5">
        <f t="shared" si="32"/>
        <v>1259.1797595872797</v>
      </c>
      <c r="H290" s="5">
        <v>0</v>
      </c>
      <c r="I290" s="5">
        <f t="shared" si="33"/>
        <v>1259.1797595872797</v>
      </c>
      <c r="J290" s="5">
        <f t="shared" si="29"/>
        <v>67500</v>
      </c>
      <c r="K290" s="2"/>
    </row>
    <row r="291" spans="1:11" x14ac:dyDescent="0.25">
      <c r="A291" s="8">
        <v>280</v>
      </c>
      <c r="B291" s="9">
        <v>52936</v>
      </c>
      <c r="C291" s="5">
        <f t="shared" si="34"/>
        <v>67500</v>
      </c>
      <c r="D291" s="10">
        <f t="shared" si="30"/>
        <v>420.65317715328842</v>
      </c>
      <c r="E291" s="3">
        <f t="shared" si="31"/>
        <v>67920.65317715329</v>
      </c>
      <c r="F291" s="3">
        <f t="shared" si="28"/>
        <v>833.33333333333337</v>
      </c>
      <c r="G291" s="5">
        <f t="shared" si="32"/>
        <v>1253.9865104866217</v>
      </c>
      <c r="H291" s="5">
        <v>0</v>
      </c>
      <c r="I291" s="5">
        <f t="shared" si="33"/>
        <v>1253.9865104866217</v>
      </c>
      <c r="J291" s="5">
        <f t="shared" si="29"/>
        <v>66666.666666666672</v>
      </c>
      <c r="K291" s="2"/>
    </row>
    <row r="292" spans="1:11" x14ac:dyDescent="0.25">
      <c r="A292" s="8">
        <v>281</v>
      </c>
      <c r="B292" s="9">
        <v>52967</v>
      </c>
      <c r="C292" s="5">
        <f t="shared" si="34"/>
        <v>66666.666666666672</v>
      </c>
      <c r="D292" s="10">
        <f t="shared" si="30"/>
        <v>415.45992805263057</v>
      </c>
      <c r="E292" s="3">
        <f t="shared" si="31"/>
        <v>67082.126594719302</v>
      </c>
      <c r="F292" s="3">
        <f t="shared" si="28"/>
        <v>833.33333333333337</v>
      </c>
      <c r="G292" s="5">
        <f t="shared" si="32"/>
        <v>1248.7932613859639</v>
      </c>
      <c r="H292" s="5">
        <v>0</v>
      </c>
      <c r="I292" s="5">
        <f t="shared" si="33"/>
        <v>1248.7932613859639</v>
      </c>
      <c r="J292" s="5">
        <f t="shared" si="29"/>
        <v>65833.333333333343</v>
      </c>
      <c r="K292" s="2"/>
    </row>
    <row r="293" spans="1:11" x14ac:dyDescent="0.25">
      <c r="A293" s="8">
        <v>282</v>
      </c>
      <c r="B293" s="9">
        <v>52998</v>
      </c>
      <c r="C293" s="5">
        <f t="shared" si="34"/>
        <v>65833.333333333343</v>
      </c>
      <c r="D293" s="10">
        <f t="shared" si="30"/>
        <v>410.26667895197272</v>
      </c>
      <c r="E293" s="3">
        <f t="shared" si="31"/>
        <v>66243.600012285315</v>
      </c>
      <c r="F293" s="3">
        <f t="shared" si="28"/>
        <v>833.33333333333337</v>
      </c>
      <c r="G293" s="5">
        <f t="shared" si="32"/>
        <v>1243.6000122853061</v>
      </c>
      <c r="H293" s="5">
        <v>0</v>
      </c>
      <c r="I293" s="5">
        <f t="shared" si="33"/>
        <v>1243.6000122853061</v>
      </c>
      <c r="J293" s="5">
        <f t="shared" si="29"/>
        <v>65000.000000000007</v>
      </c>
      <c r="K293" s="2"/>
    </row>
    <row r="294" spans="1:11" x14ac:dyDescent="0.25">
      <c r="A294" s="8">
        <v>283</v>
      </c>
      <c r="B294" s="9">
        <v>53026</v>
      </c>
      <c r="C294" s="5">
        <f t="shared" si="34"/>
        <v>65000.000000000007</v>
      </c>
      <c r="D294" s="10">
        <f t="shared" si="30"/>
        <v>405.07342985131481</v>
      </c>
      <c r="E294" s="3">
        <f t="shared" si="31"/>
        <v>65405.07342985132</v>
      </c>
      <c r="F294" s="3">
        <f t="shared" si="28"/>
        <v>833.33333333333337</v>
      </c>
      <c r="G294" s="5">
        <f t="shared" si="32"/>
        <v>1238.4067631846483</v>
      </c>
      <c r="H294" s="5">
        <v>0</v>
      </c>
      <c r="I294" s="5">
        <f t="shared" si="33"/>
        <v>1238.4067631846483</v>
      </c>
      <c r="J294" s="5">
        <f t="shared" si="29"/>
        <v>64166.666666666672</v>
      </c>
      <c r="K294" s="2"/>
    </row>
    <row r="295" spans="1:11" x14ac:dyDescent="0.25">
      <c r="A295" s="8">
        <v>284</v>
      </c>
      <c r="B295" s="9">
        <v>53057</v>
      </c>
      <c r="C295" s="5">
        <f t="shared" si="34"/>
        <v>64166.666666666672</v>
      </c>
      <c r="D295" s="10">
        <f t="shared" si="30"/>
        <v>399.8801807506569</v>
      </c>
      <c r="E295" s="3">
        <f t="shared" si="31"/>
        <v>64566.546847417325</v>
      </c>
      <c r="F295" s="3">
        <f t="shared" si="28"/>
        <v>833.33333333333337</v>
      </c>
      <c r="G295" s="5">
        <f t="shared" si="32"/>
        <v>1233.2135140839903</v>
      </c>
      <c r="H295" s="5">
        <v>0</v>
      </c>
      <c r="I295" s="5">
        <f t="shared" si="33"/>
        <v>1233.2135140839903</v>
      </c>
      <c r="J295" s="5">
        <f t="shared" si="29"/>
        <v>63333.333333333336</v>
      </c>
      <c r="K295" s="2"/>
    </row>
    <row r="296" spans="1:11" x14ac:dyDescent="0.25">
      <c r="A296" s="8">
        <v>285</v>
      </c>
      <c r="B296" s="9">
        <v>53087</v>
      </c>
      <c r="C296" s="5">
        <f t="shared" si="34"/>
        <v>63333.333333333336</v>
      </c>
      <c r="D296" s="10">
        <f t="shared" si="30"/>
        <v>394.68693164999905</v>
      </c>
      <c r="E296" s="3">
        <f t="shared" si="31"/>
        <v>63728.020264983337</v>
      </c>
      <c r="F296" s="3">
        <f t="shared" si="28"/>
        <v>833.33333333333337</v>
      </c>
      <c r="G296" s="5">
        <f t="shared" si="32"/>
        <v>1228.0202649833325</v>
      </c>
      <c r="H296" s="5">
        <v>0</v>
      </c>
      <c r="I296" s="5">
        <f t="shared" si="33"/>
        <v>1228.0202649833325</v>
      </c>
      <c r="J296" s="5">
        <f t="shared" si="29"/>
        <v>62500.000000000007</v>
      </c>
      <c r="K296" s="2"/>
    </row>
    <row r="297" spans="1:11" x14ac:dyDescent="0.25">
      <c r="A297" s="8">
        <v>286</v>
      </c>
      <c r="B297" s="9">
        <v>53118</v>
      </c>
      <c r="C297" s="5">
        <f t="shared" si="34"/>
        <v>62500.000000000007</v>
      </c>
      <c r="D297" s="10">
        <f t="shared" si="30"/>
        <v>389.4936825493412</v>
      </c>
      <c r="E297" s="3">
        <f t="shared" si="31"/>
        <v>62889.49368254935</v>
      </c>
      <c r="F297" s="3">
        <f t="shared" si="28"/>
        <v>833.33333333333337</v>
      </c>
      <c r="G297" s="5">
        <f t="shared" si="32"/>
        <v>1222.8270158826745</v>
      </c>
      <c r="H297" s="5">
        <v>0</v>
      </c>
      <c r="I297" s="5">
        <f t="shared" si="33"/>
        <v>1222.8270158826745</v>
      </c>
      <c r="J297" s="5">
        <f t="shared" si="29"/>
        <v>61666.666666666672</v>
      </c>
      <c r="K297" s="2"/>
    </row>
    <row r="298" spans="1:11" x14ac:dyDescent="0.25">
      <c r="A298" s="8">
        <v>287</v>
      </c>
      <c r="B298" s="9">
        <v>53148</v>
      </c>
      <c r="C298" s="5">
        <f t="shared" si="34"/>
        <v>61666.666666666672</v>
      </c>
      <c r="D298" s="10">
        <f t="shared" si="30"/>
        <v>384.30043344868329</v>
      </c>
      <c r="E298" s="3">
        <f t="shared" si="31"/>
        <v>62050.967100115355</v>
      </c>
      <c r="F298" s="3">
        <f t="shared" si="28"/>
        <v>833.33333333333337</v>
      </c>
      <c r="G298" s="5">
        <f t="shared" si="32"/>
        <v>1217.6337667820167</v>
      </c>
      <c r="H298" s="5">
        <v>0</v>
      </c>
      <c r="I298" s="5">
        <f t="shared" si="33"/>
        <v>1217.6337667820167</v>
      </c>
      <c r="J298" s="5">
        <f t="shared" si="29"/>
        <v>60833.333333333336</v>
      </c>
      <c r="K298" s="2"/>
    </row>
    <row r="299" spans="1:11" x14ac:dyDescent="0.25">
      <c r="A299" s="8">
        <v>288</v>
      </c>
      <c r="B299" s="9">
        <v>53179</v>
      </c>
      <c r="C299" s="5">
        <f t="shared" si="34"/>
        <v>60833.333333333336</v>
      </c>
      <c r="D299" s="10">
        <f t="shared" si="30"/>
        <v>379.10718434802538</v>
      </c>
      <c r="E299" s="3">
        <f t="shared" si="31"/>
        <v>61212.44051768136</v>
      </c>
      <c r="F299" s="3">
        <f t="shared" si="28"/>
        <v>833.33333333333337</v>
      </c>
      <c r="G299" s="5">
        <f t="shared" si="32"/>
        <v>1212.4405176813589</v>
      </c>
      <c r="H299" s="5">
        <v>0</v>
      </c>
      <c r="I299" s="5">
        <f t="shared" si="33"/>
        <v>1212.4405176813589</v>
      </c>
      <c r="J299" s="5">
        <f t="shared" si="29"/>
        <v>60000</v>
      </c>
      <c r="K299" s="2"/>
    </row>
    <row r="300" spans="1:11" x14ac:dyDescent="0.25">
      <c r="A300" s="8">
        <v>289</v>
      </c>
      <c r="B300" s="9">
        <v>53210</v>
      </c>
      <c r="C300" s="5">
        <f t="shared" si="34"/>
        <v>60000</v>
      </c>
      <c r="D300" s="10">
        <f t="shared" si="30"/>
        <v>373.91393524736748</v>
      </c>
      <c r="E300" s="3">
        <f t="shared" si="31"/>
        <v>60373.913935247365</v>
      </c>
      <c r="F300" s="3">
        <f t="shared" si="28"/>
        <v>833.33333333333337</v>
      </c>
      <c r="G300" s="5">
        <f t="shared" si="32"/>
        <v>1207.2472685807008</v>
      </c>
      <c r="H300" s="5">
        <v>0</v>
      </c>
      <c r="I300" s="5">
        <f t="shared" si="33"/>
        <v>1207.2472685807008</v>
      </c>
      <c r="J300" s="5">
        <f t="shared" si="29"/>
        <v>59166.666666666664</v>
      </c>
      <c r="K300" s="2"/>
    </row>
    <row r="301" spans="1:11" x14ac:dyDescent="0.25">
      <c r="A301" s="8">
        <v>290</v>
      </c>
      <c r="B301" s="9">
        <v>53240</v>
      </c>
      <c r="C301" s="5">
        <f t="shared" si="34"/>
        <v>59166.666666666664</v>
      </c>
      <c r="D301" s="10">
        <f t="shared" si="30"/>
        <v>368.72068614670957</v>
      </c>
      <c r="E301" s="3">
        <f t="shared" si="31"/>
        <v>59535.387352813377</v>
      </c>
      <c r="F301" s="3">
        <f t="shared" si="28"/>
        <v>833.33333333333337</v>
      </c>
      <c r="G301" s="5">
        <f t="shared" si="32"/>
        <v>1202.0540194800428</v>
      </c>
      <c r="H301" s="5">
        <v>0</v>
      </c>
      <c r="I301" s="5">
        <f t="shared" si="33"/>
        <v>1202.0540194800428</v>
      </c>
      <c r="J301" s="5">
        <f t="shared" si="29"/>
        <v>58333.333333333336</v>
      </c>
      <c r="K301" s="2"/>
    </row>
    <row r="302" spans="1:11" x14ac:dyDescent="0.25">
      <c r="A302" s="8">
        <v>291</v>
      </c>
      <c r="B302" s="9">
        <v>53271</v>
      </c>
      <c r="C302" s="5">
        <f t="shared" si="34"/>
        <v>58333.333333333336</v>
      </c>
      <c r="D302" s="10">
        <f t="shared" si="30"/>
        <v>363.52743704605172</v>
      </c>
      <c r="E302" s="3">
        <f t="shared" si="31"/>
        <v>58696.86077037939</v>
      </c>
      <c r="F302" s="3">
        <f t="shared" si="28"/>
        <v>833.33333333333337</v>
      </c>
      <c r="G302" s="5">
        <f t="shared" si="32"/>
        <v>1196.860770379385</v>
      </c>
      <c r="H302" s="5">
        <v>0</v>
      </c>
      <c r="I302" s="5">
        <f t="shared" si="33"/>
        <v>1196.860770379385</v>
      </c>
      <c r="J302" s="5">
        <f t="shared" si="29"/>
        <v>57500.000000000007</v>
      </c>
      <c r="K302" s="2"/>
    </row>
    <row r="303" spans="1:11" x14ac:dyDescent="0.25">
      <c r="A303" s="8">
        <v>292</v>
      </c>
      <c r="B303" s="9">
        <v>53301</v>
      </c>
      <c r="C303" s="5">
        <f t="shared" si="34"/>
        <v>57500.000000000007</v>
      </c>
      <c r="D303" s="10">
        <f t="shared" si="30"/>
        <v>358.33418794539386</v>
      </c>
      <c r="E303" s="3">
        <f t="shared" si="31"/>
        <v>57858.334187945402</v>
      </c>
      <c r="F303" s="3">
        <f t="shared" si="28"/>
        <v>833.33333333333337</v>
      </c>
      <c r="G303" s="5">
        <f t="shared" si="32"/>
        <v>1191.6675212787272</v>
      </c>
      <c r="H303" s="5">
        <v>0</v>
      </c>
      <c r="I303" s="5">
        <f t="shared" si="33"/>
        <v>1191.6675212787272</v>
      </c>
      <c r="J303" s="5">
        <f t="shared" si="29"/>
        <v>56666.666666666672</v>
      </c>
      <c r="K303" s="2"/>
    </row>
    <row r="304" spans="1:11" x14ac:dyDescent="0.25">
      <c r="A304" s="8">
        <v>293</v>
      </c>
      <c r="B304" s="9">
        <v>53332</v>
      </c>
      <c r="C304" s="5">
        <f t="shared" si="34"/>
        <v>56666.666666666672</v>
      </c>
      <c r="D304" s="10">
        <f t="shared" si="30"/>
        <v>353.14093884473601</v>
      </c>
      <c r="E304" s="3">
        <f t="shared" si="31"/>
        <v>57019.807605511407</v>
      </c>
      <c r="F304" s="3">
        <f t="shared" si="28"/>
        <v>833.33333333333337</v>
      </c>
      <c r="G304" s="5">
        <f t="shared" si="32"/>
        <v>1186.4742721780694</v>
      </c>
      <c r="H304" s="5">
        <v>0</v>
      </c>
      <c r="I304" s="5">
        <f t="shared" si="33"/>
        <v>1186.4742721780694</v>
      </c>
      <c r="J304" s="5">
        <f t="shared" si="29"/>
        <v>55833.333333333336</v>
      </c>
      <c r="K304" s="2"/>
    </row>
    <row r="305" spans="1:11" x14ac:dyDescent="0.25">
      <c r="A305" s="8">
        <v>294</v>
      </c>
      <c r="B305" s="9">
        <v>53363</v>
      </c>
      <c r="C305" s="5">
        <f t="shared" si="34"/>
        <v>55833.333333333336</v>
      </c>
      <c r="D305" s="10">
        <f t="shared" si="30"/>
        <v>347.9476897440781</v>
      </c>
      <c r="E305" s="3">
        <f t="shared" si="31"/>
        <v>56181.281023077412</v>
      </c>
      <c r="F305" s="3">
        <f t="shared" si="28"/>
        <v>833.33333333333337</v>
      </c>
      <c r="G305" s="5">
        <f t="shared" si="32"/>
        <v>1181.2810230774114</v>
      </c>
      <c r="H305" s="5">
        <v>0</v>
      </c>
      <c r="I305" s="5">
        <f t="shared" si="33"/>
        <v>1181.2810230774114</v>
      </c>
      <c r="J305" s="5">
        <f t="shared" si="29"/>
        <v>55000</v>
      </c>
      <c r="K305" s="2"/>
    </row>
    <row r="306" spans="1:11" x14ac:dyDescent="0.25">
      <c r="A306" s="8">
        <v>295</v>
      </c>
      <c r="B306" s="9">
        <v>53391</v>
      </c>
      <c r="C306" s="5">
        <f t="shared" si="34"/>
        <v>55000</v>
      </c>
      <c r="D306" s="10">
        <f t="shared" si="30"/>
        <v>342.7544406434202</v>
      </c>
      <c r="E306" s="3">
        <f t="shared" si="31"/>
        <v>55342.754440643417</v>
      </c>
      <c r="F306" s="3">
        <f t="shared" si="28"/>
        <v>833.33333333333337</v>
      </c>
      <c r="G306" s="5">
        <f t="shared" si="32"/>
        <v>1176.0877739767536</v>
      </c>
      <c r="H306" s="5">
        <v>0</v>
      </c>
      <c r="I306" s="5">
        <f t="shared" si="33"/>
        <v>1176.0877739767536</v>
      </c>
      <c r="J306" s="5">
        <f t="shared" si="29"/>
        <v>54166.666666666664</v>
      </c>
      <c r="K306" s="2"/>
    </row>
    <row r="307" spans="1:11" x14ac:dyDescent="0.25">
      <c r="A307" s="8">
        <v>296</v>
      </c>
      <c r="B307" s="9">
        <v>53422</v>
      </c>
      <c r="C307" s="5">
        <f t="shared" si="34"/>
        <v>54166.666666666664</v>
      </c>
      <c r="D307" s="10">
        <f t="shared" si="30"/>
        <v>337.56119154276229</v>
      </c>
      <c r="E307" s="3">
        <f t="shared" si="31"/>
        <v>54504.22785820943</v>
      </c>
      <c r="F307" s="3">
        <f t="shared" si="28"/>
        <v>833.33333333333337</v>
      </c>
      <c r="G307" s="5">
        <f t="shared" si="32"/>
        <v>1170.8945248760956</v>
      </c>
      <c r="H307" s="5">
        <v>0</v>
      </c>
      <c r="I307" s="5">
        <f t="shared" si="33"/>
        <v>1170.8945248760956</v>
      </c>
      <c r="J307" s="5">
        <f t="shared" si="29"/>
        <v>53333.333333333336</v>
      </c>
      <c r="K307" s="2"/>
    </row>
    <row r="308" spans="1:11" x14ac:dyDescent="0.25">
      <c r="A308" s="8">
        <v>297</v>
      </c>
      <c r="B308" s="9">
        <v>53452</v>
      </c>
      <c r="C308" s="5">
        <f t="shared" si="34"/>
        <v>53333.333333333336</v>
      </c>
      <c r="D308" s="10">
        <f t="shared" si="30"/>
        <v>332.36794244210444</v>
      </c>
      <c r="E308" s="3">
        <f t="shared" si="31"/>
        <v>53665.701275775442</v>
      </c>
      <c r="F308" s="3">
        <f t="shared" si="28"/>
        <v>833.33333333333337</v>
      </c>
      <c r="G308" s="5">
        <f t="shared" si="32"/>
        <v>1165.7012757754378</v>
      </c>
      <c r="H308" s="5">
        <v>0</v>
      </c>
      <c r="I308" s="5">
        <f t="shared" si="33"/>
        <v>1165.7012757754378</v>
      </c>
      <c r="J308" s="5">
        <f t="shared" si="29"/>
        <v>52500.000000000007</v>
      </c>
      <c r="K308" s="2"/>
    </row>
    <row r="309" spans="1:11" x14ac:dyDescent="0.25">
      <c r="A309" s="8">
        <v>298</v>
      </c>
      <c r="B309" s="9">
        <v>53483</v>
      </c>
      <c r="C309" s="5">
        <f t="shared" si="34"/>
        <v>52500.000000000007</v>
      </c>
      <c r="D309" s="10">
        <f t="shared" si="30"/>
        <v>327.17469334144658</v>
      </c>
      <c r="E309" s="3">
        <f t="shared" si="31"/>
        <v>52827.174693341454</v>
      </c>
      <c r="F309" s="3">
        <f t="shared" si="28"/>
        <v>833.33333333333337</v>
      </c>
      <c r="G309" s="5">
        <f t="shared" si="32"/>
        <v>1160.50802667478</v>
      </c>
      <c r="H309" s="5">
        <v>0</v>
      </c>
      <c r="I309" s="5">
        <f t="shared" si="33"/>
        <v>1160.50802667478</v>
      </c>
      <c r="J309" s="5">
        <f t="shared" si="29"/>
        <v>51666.666666666672</v>
      </c>
      <c r="K309" s="2"/>
    </row>
    <row r="310" spans="1:11" x14ac:dyDescent="0.25">
      <c r="A310" s="8">
        <v>299</v>
      </c>
      <c r="B310" s="9">
        <v>53513</v>
      </c>
      <c r="C310" s="5">
        <f t="shared" si="34"/>
        <v>51666.666666666672</v>
      </c>
      <c r="D310" s="10">
        <f t="shared" si="30"/>
        <v>321.98144424078868</v>
      </c>
      <c r="E310" s="3">
        <f t="shared" si="31"/>
        <v>51988.648110907459</v>
      </c>
      <c r="F310" s="3">
        <f t="shared" si="28"/>
        <v>833.33333333333337</v>
      </c>
      <c r="G310" s="5">
        <f t="shared" si="32"/>
        <v>1155.314777574122</v>
      </c>
      <c r="H310" s="5">
        <v>0</v>
      </c>
      <c r="I310" s="5">
        <f t="shared" si="33"/>
        <v>1155.314777574122</v>
      </c>
      <c r="J310" s="5">
        <f t="shared" si="29"/>
        <v>50833.333333333336</v>
      </c>
      <c r="K310" s="2"/>
    </row>
    <row r="311" spans="1:11" x14ac:dyDescent="0.25">
      <c r="A311" s="8">
        <v>300</v>
      </c>
      <c r="B311" s="9">
        <v>53544</v>
      </c>
      <c r="C311" s="5">
        <f t="shared" si="34"/>
        <v>50833.333333333336</v>
      </c>
      <c r="D311" s="10">
        <f t="shared" si="30"/>
        <v>316.78819514013082</v>
      </c>
      <c r="E311" s="3">
        <f t="shared" si="31"/>
        <v>51150.121528473464</v>
      </c>
      <c r="F311" s="3">
        <f t="shared" si="28"/>
        <v>833.33333333333337</v>
      </c>
      <c r="G311" s="5">
        <f t="shared" si="32"/>
        <v>1150.1215284734642</v>
      </c>
      <c r="H311" s="5">
        <v>0</v>
      </c>
      <c r="I311" s="5">
        <f t="shared" si="33"/>
        <v>1150.1215284734642</v>
      </c>
      <c r="J311" s="5">
        <f t="shared" si="29"/>
        <v>50000</v>
      </c>
      <c r="K311" s="2"/>
    </row>
    <row r="312" spans="1:11" x14ac:dyDescent="0.25">
      <c r="A312" s="8">
        <v>301</v>
      </c>
      <c r="B312" s="9">
        <v>53575</v>
      </c>
      <c r="C312" s="5">
        <f t="shared" si="34"/>
        <v>50000</v>
      </c>
      <c r="D312" s="10">
        <f t="shared" si="30"/>
        <v>311.59494603947292</v>
      </c>
      <c r="E312" s="3">
        <f t="shared" si="31"/>
        <v>50311.59494603947</v>
      </c>
      <c r="F312" s="3">
        <f t="shared" si="28"/>
        <v>833.33333333333337</v>
      </c>
      <c r="G312" s="5">
        <f t="shared" si="32"/>
        <v>1144.9282793728062</v>
      </c>
      <c r="H312" s="5">
        <v>0</v>
      </c>
      <c r="I312" s="5">
        <f t="shared" si="33"/>
        <v>1144.9282793728062</v>
      </c>
      <c r="J312" s="5">
        <f t="shared" si="29"/>
        <v>49166.666666666664</v>
      </c>
      <c r="K312" s="2"/>
    </row>
    <row r="313" spans="1:11" x14ac:dyDescent="0.25">
      <c r="A313" s="8">
        <v>302</v>
      </c>
      <c r="B313" s="9">
        <v>53605</v>
      </c>
      <c r="C313" s="5">
        <f t="shared" si="34"/>
        <v>49166.666666666664</v>
      </c>
      <c r="D313" s="10">
        <f t="shared" si="30"/>
        <v>306.40169693881501</v>
      </c>
      <c r="E313" s="3">
        <f t="shared" si="31"/>
        <v>49473.068363605482</v>
      </c>
      <c r="F313" s="3">
        <f t="shared" si="28"/>
        <v>833.33333333333337</v>
      </c>
      <c r="G313" s="5">
        <f t="shared" si="32"/>
        <v>1139.7350302721484</v>
      </c>
      <c r="H313" s="5">
        <v>0</v>
      </c>
      <c r="I313" s="5">
        <f t="shared" si="33"/>
        <v>1139.7350302721484</v>
      </c>
      <c r="J313" s="5">
        <f t="shared" si="29"/>
        <v>48333.333333333336</v>
      </c>
      <c r="K313" s="2"/>
    </row>
    <row r="314" spans="1:11" x14ac:dyDescent="0.25">
      <c r="A314" s="8">
        <v>303</v>
      </c>
      <c r="B314" s="9">
        <v>53636</v>
      </c>
      <c r="C314" s="5">
        <f t="shared" si="34"/>
        <v>48333.333333333336</v>
      </c>
      <c r="D314" s="10">
        <f t="shared" si="30"/>
        <v>301.20844783815716</v>
      </c>
      <c r="E314" s="3">
        <f t="shared" si="31"/>
        <v>48634.541781171494</v>
      </c>
      <c r="F314" s="3">
        <f t="shared" si="28"/>
        <v>833.33333333333337</v>
      </c>
      <c r="G314" s="5">
        <f t="shared" si="32"/>
        <v>1134.5417811714906</v>
      </c>
      <c r="H314" s="5">
        <v>0</v>
      </c>
      <c r="I314" s="5">
        <f t="shared" si="33"/>
        <v>1134.5417811714906</v>
      </c>
      <c r="J314" s="5">
        <f t="shared" si="29"/>
        <v>47500</v>
      </c>
      <c r="K314" s="2"/>
    </row>
    <row r="315" spans="1:11" x14ac:dyDescent="0.25">
      <c r="A315" s="8">
        <v>304</v>
      </c>
      <c r="B315" s="9">
        <v>53666</v>
      </c>
      <c r="C315" s="5">
        <f t="shared" si="34"/>
        <v>47500</v>
      </c>
      <c r="D315" s="10">
        <f t="shared" si="30"/>
        <v>296.01519873749925</v>
      </c>
      <c r="E315" s="3">
        <f t="shared" si="31"/>
        <v>47796.015198737499</v>
      </c>
      <c r="F315" s="3">
        <f t="shared" si="28"/>
        <v>833.33333333333337</v>
      </c>
      <c r="G315" s="5">
        <f t="shared" si="32"/>
        <v>1129.3485320708326</v>
      </c>
      <c r="H315" s="5">
        <v>0</v>
      </c>
      <c r="I315" s="5">
        <f t="shared" si="33"/>
        <v>1129.3485320708326</v>
      </c>
      <c r="J315" s="5">
        <f t="shared" si="29"/>
        <v>46666.666666666664</v>
      </c>
      <c r="K315" s="2"/>
    </row>
    <row r="316" spans="1:11" x14ac:dyDescent="0.25">
      <c r="A316" s="8">
        <v>305</v>
      </c>
      <c r="B316" s="9">
        <v>53697</v>
      </c>
      <c r="C316" s="5">
        <f t="shared" si="34"/>
        <v>46666.666666666664</v>
      </c>
      <c r="D316" s="10">
        <f t="shared" si="30"/>
        <v>290.82194963684134</v>
      </c>
      <c r="E316" s="3">
        <f t="shared" si="31"/>
        <v>46957.488616303504</v>
      </c>
      <c r="F316" s="3">
        <f t="shared" si="28"/>
        <v>833.33333333333337</v>
      </c>
      <c r="G316" s="5">
        <f t="shared" si="32"/>
        <v>1124.1552829701748</v>
      </c>
      <c r="H316" s="5">
        <v>0</v>
      </c>
      <c r="I316" s="5">
        <f t="shared" si="33"/>
        <v>1124.1552829701748</v>
      </c>
      <c r="J316" s="5">
        <f t="shared" si="29"/>
        <v>45833.333333333328</v>
      </c>
      <c r="K316" s="2"/>
    </row>
    <row r="317" spans="1:11" x14ac:dyDescent="0.25">
      <c r="A317" s="8">
        <v>306</v>
      </c>
      <c r="B317" s="9">
        <v>53728</v>
      </c>
      <c r="C317" s="5">
        <f t="shared" si="34"/>
        <v>45833.333333333328</v>
      </c>
      <c r="D317" s="10">
        <f t="shared" si="30"/>
        <v>285.62870053618349</v>
      </c>
      <c r="E317" s="3">
        <f t="shared" si="31"/>
        <v>46118.962033869509</v>
      </c>
      <c r="F317" s="3">
        <f t="shared" si="28"/>
        <v>833.33333333333337</v>
      </c>
      <c r="G317" s="5">
        <f t="shared" si="32"/>
        <v>1118.9620338695167</v>
      </c>
      <c r="H317" s="5">
        <v>0</v>
      </c>
      <c r="I317" s="5">
        <f t="shared" si="33"/>
        <v>1118.9620338695167</v>
      </c>
      <c r="J317" s="5">
        <f t="shared" si="29"/>
        <v>44999.999999999993</v>
      </c>
      <c r="K317" s="2"/>
    </row>
    <row r="318" spans="1:11" x14ac:dyDescent="0.25">
      <c r="A318" s="8">
        <v>307</v>
      </c>
      <c r="B318" s="9">
        <v>53756</v>
      </c>
      <c r="C318" s="5">
        <f t="shared" si="34"/>
        <v>44999.999999999993</v>
      </c>
      <c r="D318" s="10">
        <f t="shared" si="30"/>
        <v>280.43545143552558</v>
      </c>
      <c r="E318" s="3">
        <f t="shared" si="31"/>
        <v>45280.435451435522</v>
      </c>
      <c r="F318" s="3">
        <f t="shared" si="28"/>
        <v>833.33333333333337</v>
      </c>
      <c r="G318" s="5">
        <f t="shared" si="32"/>
        <v>1113.7687847688589</v>
      </c>
      <c r="H318" s="5">
        <v>0</v>
      </c>
      <c r="I318" s="5">
        <f t="shared" si="33"/>
        <v>1113.7687847688589</v>
      </c>
      <c r="J318" s="5">
        <f t="shared" si="29"/>
        <v>44166.666666666664</v>
      </c>
      <c r="K318" s="2"/>
    </row>
    <row r="319" spans="1:11" x14ac:dyDescent="0.25">
      <c r="A319" s="8">
        <v>308</v>
      </c>
      <c r="B319" s="9">
        <v>53787</v>
      </c>
      <c r="C319" s="5">
        <f t="shared" si="34"/>
        <v>44166.666666666664</v>
      </c>
      <c r="D319" s="10">
        <f t="shared" si="30"/>
        <v>275.24220233486773</v>
      </c>
      <c r="E319" s="3">
        <f t="shared" si="31"/>
        <v>44441.908869001534</v>
      </c>
      <c r="F319" s="3">
        <f t="shared" si="28"/>
        <v>833.33333333333337</v>
      </c>
      <c r="G319" s="5">
        <f t="shared" si="32"/>
        <v>1108.5755356682012</v>
      </c>
      <c r="H319" s="5">
        <v>0</v>
      </c>
      <c r="I319" s="5">
        <f t="shared" si="33"/>
        <v>1108.5755356682012</v>
      </c>
      <c r="J319" s="5">
        <f t="shared" si="29"/>
        <v>43333.333333333336</v>
      </c>
      <c r="K319" s="2"/>
    </row>
    <row r="320" spans="1:11" x14ac:dyDescent="0.25">
      <c r="A320" s="8">
        <v>309</v>
      </c>
      <c r="B320" s="9">
        <v>53817</v>
      </c>
      <c r="C320" s="5">
        <f t="shared" si="34"/>
        <v>43333.333333333336</v>
      </c>
      <c r="D320" s="10">
        <f t="shared" si="30"/>
        <v>270.04895323420988</v>
      </c>
      <c r="E320" s="3">
        <f t="shared" si="31"/>
        <v>43603.382286567547</v>
      </c>
      <c r="F320" s="3">
        <f t="shared" si="28"/>
        <v>833.33333333333337</v>
      </c>
      <c r="G320" s="5">
        <f t="shared" si="32"/>
        <v>1103.3822865675434</v>
      </c>
      <c r="H320" s="5">
        <v>0</v>
      </c>
      <c r="I320" s="5">
        <f t="shared" si="33"/>
        <v>1103.3822865675434</v>
      </c>
      <c r="J320" s="5">
        <f t="shared" si="29"/>
        <v>42500</v>
      </c>
      <c r="K320" s="2"/>
    </row>
    <row r="321" spans="1:11" x14ac:dyDescent="0.25">
      <c r="A321" s="8">
        <v>310</v>
      </c>
      <c r="B321" s="9">
        <v>53848</v>
      </c>
      <c r="C321" s="5">
        <f t="shared" si="34"/>
        <v>42500</v>
      </c>
      <c r="D321" s="10">
        <f t="shared" si="30"/>
        <v>264.85570413355197</v>
      </c>
      <c r="E321" s="3">
        <f t="shared" si="31"/>
        <v>42764.855704133552</v>
      </c>
      <c r="F321" s="3">
        <f t="shared" si="28"/>
        <v>833.33333333333337</v>
      </c>
      <c r="G321" s="5">
        <f t="shared" si="32"/>
        <v>1098.1890374668853</v>
      </c>
      <c r="H321" s="5">
        <v>0</v>
      </c>
      <c r="I321" s="5">
        <f t="shared" si="33"/>
        <v>1098.1890374668853</v>
      </c>
      <c r="J321" s="5">
        <f t="shared" si="29"/>
        <v>41666.666666666664</v>
      </c>
      <c r="K321" s="2"/>
    </row>
    <row r="322" spans="1:11" x14ac:dyDescent="0.25">
      <c r="A322" s="8">
        <v>311</v>
      </c>
      <c r="B322" s="9">
        <v>53878</v>
      </c>
      <c r="C322" s="5">
        <f t="shared" si="34"/>
        <v>41666.666666666664</v>
      </c>
      <c r="D322" s="10">
        <f t="shared" si="30"/>
        <v>259.66245503289406</v>
      </c>
      <c r="E322" s="3">
        <f t="shared" si="31"/>
        <v>41926.329121699557</v>
      </c>
      <c r="F322" s="3">
        <f t="shared" si="28"/>
        <v>833.33333333333337</v>
      </c>
      <c r="G322" s="5">
        <f t="shared" si="32"/>
        <v>1092.9957883662273</v>
      </c>
      <c r="H322" s="5">
        <v>0</v>
      </c>
      <c r="I322" s="5">
        <f t="shared" si="33"/>
        <v>1092.9957883662273</v>
      </c>
      <c r="J322" s="5">
        <f t="shared" si="29"/>
        <v>40833.333333333328</v>
      </c>
      <c r="K322" s="2"/>
    </row>
    <row r="323" spans="1:11" x14ac:dyDescent="0.25">
      <c r="A323" s="8">
        <v>312</v>
      </c>
      <c r="B323" s="9">
        <v>53909</v>
      </c>
      <c r="C323" s="5">
        <f t="shared" si="34"/>
        <v>40833.333333333328</v>
      </c>
      <c r="D323" s="10">
        <f t="shared" si="30"/>
        <v>254.46920593223618</v>
      </c>
      <c r="E323" s="3">
        <f t="shared" si="31"/>
        <v>41087.802539265562</v>
      </c>
      <c r="F323" s="3">
        <f t="shared" si="28"/>
        <v>833.33333333333337</v>
      </c>
      <c r="G323" s="5">
        <f t="shared" si="32"/>
        <v>1087.8025392655695</v>
      </c>
      <c r="H323" s="5">
        <v>0</v>
      </c>
      <c r="I323" s="5">
        <f t="shared" si="33"/>
        <v>1087.8025392655695</v>
      </c>
      <c r="J323" s="5">
        <f t="shared" si="29"/>
        <v>39999.999999999993</v>
      </c>
      <c r="K323" s="2"/>
    </row>
    <row r="324" spans="1:11" x14ac:dyDescent="0.25">
      <c r="A324" s="8">
        <v>313</v>
      </c>
      <c r="B324" s="9">
        <v>53940</v>
      </c>
      <c r="C324" s="5">
        <f t="shared" si="34"/>
        <v>39999.999999999993</v>
      </c>
      <c r="D324" s="10">
        <f t="shared" si="30"/>
        <v>249.27595683157827</v>
      </c>
      <c r="E324" s="3">
        <f t="shared" si="31"/>
        <v>40249.275956831574</v>
      </c>
      <c r="F324" s="3">
        <f t="shared" si="28"/>
        <v>833.33333333333337</v>
      </c>
      <c r="G324" s="5">
        <f t="shared" si="32"/>
        <v>1082.6092901649117</v>
      </c>
      <c r="H324" s="5">
        <v>0</v>
      </c>
      <c r="I324" s="5">
        <f t="shared" si="33"/>
        <v>1082.6092901649117</v>
      </c>
      <c r="J324" s="5">
        <f t="shared" si="29"/>
        <v>39166.666666666664</v>
      </c>
      <c r="K324" s="2"/>
    </row>
    <row r="325" spans="1:11" x14ac:dyDescent="0.25">
      <c r="A325" s="8">
        <v>314</v>
      </c>
      <c r="B325" s="9">
        <v>53970</v>
      </c>
      <c r="C325" s="5">
        <f t="shared" si="34"/>
        <v>39166.666666666664</v>
      </c>
      <c r="D325" s="10">
        <f t="shared" si="30"/>
        <v>244.08270773092042</v>
      </c>
      <c r="E325" s="3">
        <f t="shared" si="31"/>
        <v>39410.749374397587</v>
      </c>
      <c r="F325" s="3">
        <f t="shared" si="28"/>
        <v>833.33333333333337</v>
      </c>
      <c r="G325" s="5">
        <f t="shared" si="32"/>
        <v>1077.4160410642537</v>
      </c>
      <c r="H325" s="5">
        <v>0</v>
      </c>
      <c r="I325" s="5">
        <f t="shared" si="33"/>
        <v>1077.4160410642537</v>
      </c>
      <c r="J325" s="5">
        <f t="shared" si="29"/>
        <v>38333.333333333336</v>
      </c>
      <c r="K325" s="2"/>
    </row>
    <row r="326" spans="1:11" x14ac:dyDescent="0.25">
      <c r="A326" s="8">
        <v>315</v>
      </c>
      <c r="B326" s="9">
        <v>54001</v>
      </c>
      <c r="C326" s="5">
        <f t="shared" si="34"/>
        <v>38333.333333333336</v>
      </c>
      <c r="D326" s="10">
        <f t="shared" si="30"/>
        <v>238.88945863026257</v>
      </c>
      <c r="E326" s="3">
        <f t="shared" si="31"/>
        <v>38572.222791963599</v>
      </c>
      <c r="F326" s="3">
        <f t="shared" si="28"/>
        <v>833.33333333333337</v>
      </c>
      <c r="G326" s="5">
        <f t="shared" si="32"/>
        <v>1072.2227919635959</v>
      </c>
      <c r="H326" s="5">
        <v>0</v>
      </c>
      <c r="I326" s="5">
        <f t="shared" si="33"/>
        <v>1072.2227919635959</v>
      </c>
      <c r="J326" s="5">
        <f t="shared" si="29"/>
        <v>37500</v>
      </c>
      <c r="K326" s="2"/>
    </row>
    <row r="327" spans="1:11" x14ac:dyDescent="0.25">
      <c r="A327" s="8">
        <v>316</v>
      </c>
      <c r="B327" s="9">
        <v>54031</v>
      </c>
      <c r="C327" s="5">
        <f t="shared" si="34"/>
        <v>37500</v>
      </c>
      <c r="D327" s="10">
        <f t="shared" si="30"/>
        <v>233.69620952960469</v>
      </c>
      <c r="E327" s="3">
        <f t="shared" si="31"/>
        <v>37733.696209529604</v>
      </c>
      <c r="F327" s="3">
        <f t="shared" si="28"/>
        <v>833.33333333333337</v>
      </c>
      <c r="G327" s="5">
        <f t="shared" si="32"/>
        <v>1067.0295428629381</v>
      </c>
      <c r="H327" s="5">
        <v>0</v>
      </c>
      <c r="I327" s="5">
        <f t="shared" si="33"/>
        <v>1067.0295428629381</v>
      </c>
      <c r="J327" s="5">
        <f t="shared" si="29"/>
        <v>36666.666666666664</v>
      </c>
      <c r="K327" s="2"/>
    </row>
    <row r="328" spans="1:11" x14ac:dyDescent="0.25">
      <c r="A328" s="8">
        <v>317</v>
      </c>
      <c r="B328" s="9">
        <v>54062</v>
      </c>
      <c r="C328" s="5">
        <f t="shared" si="34"/>
        <v>36666.666666666664</v>
      </c>
      <c r="D328" s="10">
        <f t="shared" si="30"/>
        <v>228.50296042894678</v>
      </c>
      <c r="E328" s="3">
        <f t="shared" si="31"/>
        <v>36895.169627095609</v>
      </c>
      <c r="F328" s="3">
        <f t="shared" si="28"/>
        <v>833.33333333333337</v>
      </c>
      <c r="G328" s="5">
        <f t="shared" si="32"/>
        <v>1061.8362937622801</v>
      </c>
      <c r="H328" s="5">
        <v>0</v>
      </c>
      <c r="I328" s="5">
        <f t="shared" si="33"/>
        <v>1061.8362937622801</v>
      </c>
      <c r="J328" s="5">
        <f t="shared" si="29"/>
        <v>35833.333333333328</v>
      </c>
      <c r="K328" s="2"/>
    </row>
    <row r="329" spans="1:11" x14ac:dyDescent="0.25">
      <c r="A329" s="8">
        <v>318</v>
      </c>
      <c r="B329" s="9">
        <v>54093</v>
      </c>
      <c r="C329" s="5">
        <f t="shared" si="34"/>
        <v>35833.333333333328</v>
      </c>
      <c r="D329" s="10">
        <f t="shared" si="30"/>
        <v>223.3097113282889</v>
      </c>
      <c r="E329" s="3">
        <f t="shared" si="31"/>
        <v>36056.643044661614</v>
      </c>
      <c r="F329" s="3">
        <f t="shared" si="28"/>
        <v>833.33333333333337</v>
      </c>
      <c r="G329" s="5">
        <f t="shared" si="32"/>
        <v>1056.6430446616223</v>
      </c>
      <c r="H329" s="5">
        <v>0</v>
      </c>
      <c r="I329" s="5">
        <f t="shared" si="33"/>
        <v>1056.6430446616223</v>
      </c>
      <c r="J329" s="5">
        <f t="shared" si="29"/>
        <v>34999.999999999993</v>
      </c>
      <c r="K329" s="2"/>
    </row>
    <row r="330" spans="1:11" x14ac:dyDescent="0.25">
      <c r="A330" s="8">
        <v>319</v>
      </c>
      <c r="B330" s="9">
        <v>54122</v>
      </c>
      <c r="C330" s="5">
        <f t="shared" si="34"/>
        <v>34999.999999999993</v>
      </c>
      <c r="D330" s="10">
        <f t="shared" si="30"/>
        <v>218.11646222763099</v>
      </c>
      <c r="E330" s="3">
        <f t="shared" si="31"/>
        <v>35218.116462227626</v>
      </c>
      <c r="F330" s="3">
        <f t="shared" si="28"/>
        <v>833.33333333333337</v>
      </c>
      <c r="G330" s="5">
        <f t="shared" si="32"/>
        <v>1051.4497955609643</v>
      </c>
      <c r="H330" s="5">
        <v>0</v>
      </c>
      <c r="I330" s="5">
        <f t="shared" si="33"/>
        <v>1051.4497955609643</v>
      </c>
      <c r="J330" s="5">
        <f t="shared" si="29"/>
        <v>34166.666666666664</v>
      </c>
      <c r="K330" s="2"/>
    </row>
    <row r="331" spans="1:11" x14ac:dyDescent="0.25">
      <c r="A331" s="8">
        <v>320</v>
      </c>
      <c r="B331" s="9">
        <v>54153</v>
      </c>
      <c r="C331" s="5">
        <f t="shared" si="34"/>
        <v>34166.666666666664</v>
      </c>
      <c r="D331" s="10">
        <f t="shared" si="30"/>
        <v>212.92321312697314</v>
      </c>
      <c r="E331" s="3">
        <f t="shared" si="31"/>
        <v>34379.589879793639</v>
      </c>
      <c r="F331" s="3">
        <f t="shared" si="28"/>
        <v>833.33333333333337</v>
      </c>
      <c r="G331" s="5">
        <f t="shared" si="32"/>
        <v>1046.2565464603065</v>
      </c>
      <c r="H331" s="5">
        <v>0</v>
      </c>
      <c r="I331" s="5">
        <f t="shared" si="33"/>
        <v>1046.2565464603065</v>
      </c>
      <c r="J331" s="5">
        <f t="shared" si="29"/>
        <v>33333.333333333336</v>
      </c>
      <c r="K331" s="2"/>
    </row>
    <row r="332" spans="1:11" x14ac:dyDescent="0.25">
      <c r="A332" s="8">
        <v>321</v>
      </c>
      <c r="B332" s="9">
        <v>54183</v>
      </c>
      <c r="C332" s="5">
        <f t="shared" si="34"/>
        <v>33333.333333333336</v>
      </c>
      <c r="D332" s="10">
        <f t="shared" si="30"/>
        <v>207.72996402631529</v>
      </c>
      <c r="E332" s="3">
        <f t="shared" si="31"/>
        <v>33541.063297359651</v>
      </c>
      <c r="F332" s="3">
        <f t="shared" ref="F332:F371" si="35">$C$4/$C$8</f>
        <v>833.33333333333337</v>
      </c>
      <c r="G332" s="5">
        <f t="shared" si="32"/>
        <v>1041.0632973596487</v>
      </c>
      <c r="H332" s="5">
        <v>0</v>
      </c>
      <c r="I332" s="5">
        <f t="shared" si="33"/>
        <v>1041.0632973596487</v>
      </c>
      <c r="J332" s="5">
        <f t="shared" ref="J332:J371" si="36">E332-I332</f>
        <v>32500.000000000004</v>
      </c>
      <c r="K332" s="2"/>
    </row>
    <row r="333" spans="1:11" x14ac:dyDescent="0.25">
      <c r="A333" s="8">
        <v>322</v>
      </c>
      <c r="B333" s="9">
        <v>54214</v>
      </c>
      <c r="C333" s="5">
        <f t="shared" si="34"/>
        <v>32500.000000000004</v>
      </c>
      <c r="D333" s="10">
        <f t="shared" ref="D333:D371" si="37">C333*$C$6</f>
        <v>202.53671492565741</v>
      </c>
      <c r="E333" s="3">
        <f t="shared" ref="E333:E371" si="38">C333+D333</f>
        <v>32702.53671492566</v>
      </c>
      <c r="F333" s="3">
        <f t="shared" si="35"/>
        <v>833.33333333333337</v>
      </c>
      <c r="G333" s="5">
        <f t="shared" ref="G333:G371" si="39">F333+D333</f>
        <v>1035.8700482589907</v>
      </c>
      <c r="H333" s="5">
        <v>0</v>
      </c>
      <c r="I333" s="5">
        <f t="shared" ref="I333:I371" si="40">H333+G333</f>
        <v>1035.8700482589907</v>
      </c>
      <c r="J333" s="5">
        <f t="shared" si="36"/>
        <v>31666.666666666668</v>
      </c>
      <c r="K333" s="2"/>
    </row>
    <row r="334" spans="1:11" x14ac:dyDescent="0.25">
      <c r="A334" s="8">
        <v>323</v>
      </c>
      <c r="B334" s="9">
        <v>54244</v>
      </c>
      <c r="C334" s="5">
        <f t="shared" ref="C334:C371" si="41">J333</f>
        <v>31666.666666666668</v>
      </c>
      <c r="D334" s="10">
        <f t="shared" si="37"/>
        <v>197.34346582499953</v>
      </c>
      <c r="E334" s="3">
        <f t="shared" si="38"/>
        <v>31864.010132491669</v>
      </c>
      <c r="F334" s="3">
        <f t="shared" si="35"/>
        <v>833.33333333333337</v>
      </c>
      <c r="G334" s="5">
        <f t="shared" si="39"/>
        <v>1030.6767991583329</v>
      </c>
      <c r="H334" s="5">
        <v>0</v>
      </c>
      <c r="I334" s="5">
        <f t="shared" si="40"/>
        <v>1030.6767991583329</v>
      </c>
      <c r="J334" s="5">
        <f t="shared" si="36"/>
        <v>30833.333333333336</v>
      </c>
      <c r="K334" s="2"/>
    </row>
    <row r="335" spans="1:11" x14ac:dyDescent="0.25">
      <c r="A335" s="8">
        <v>324</v>
      </c>
      <c r="B335" s="9">
        <v>54275</v>
      </c>
      <c r="C335" s="5">
        <f t="shared" si="41"/>
        <v>30833.333333333336</v>
      </c>
      <c r="D335" s="10">
        <f t="shared" si="37"/>
        <v>192.15021672434165</v>
      </c>
      <c r="E335" s="3">
        <f t="shared" si="38"/>
        <v>31025.483550057677</v>
      </c>
      <c r="F335" s="3">
        <f t="shared" si="35"/>
        <v>833.33333333333337</v>
      </c>
      <c r="G335" s="5">
        <f t="shared" si="39"/>
        <v>1025.4835500576751</v>
      </c>
      <c r="H335" s="5">
        <v>0</v>
      </c>
      <c r="I335" s="5">
        <f t="shared" si="40"/>
        <v>1025.4835500576751</v>
      </c>
      <c r="J335" s="5">
        <f t="shared" si="36"/>
        <v>30000.000000000004</v>
      </c>
      <c r="K335" s="2"/>
    </row>
    <row r="336" spans="1:11" x14ac:dyDescent="0.25">
      <c r="A336" s="8">
        <v>325</v>
      </c>
      <c r="B336" s="9">
        <v>54306</v>
      </c>
      <c r="C336" s="5">
        <f t="shared" si="41"/>
        <v>30000.000000000004</v>
      </c>
      <c r="D336" s="10">
        <f t="shared" si="37"/>
        <v>186.95696762368377</v>
      </c>
      <c r="E336" s="3">
        <f t="shared" si="38"/>
        <v>30186.956967623686</v>
      </c>
      <c r="F336" s="3">
        <f t="shared" si="35"/>
        <v>833.33333333333337</v>
      </c>
      <c r="G336" s="5">
        <f t="shared" si="39"/>
        <v>1020.2903009570172</v>
      </c>
      <c r="H336" s="5">
        <v>0</v>
      </c>
      <c r="I336" s="5">
        <f t="shared" si="40"/>
        <v>1020.2903009570172</v>
      </c>
      <c r="J336" s="5">
        <f t="shared" si="36"/>
        <v>29166.666666666668</v>
      </c>
      <c r="K336" s="2"/>
    </row>
    <row r="337" spans="1:11" x14ac:dyDescent="0.25">
      <c r="A337" s="8">
        <v>326</v>
      </c>
      <c r="B337" s="9">
        <v>54336</v>
      </c>
      <c r="C337" s="5">
        <f t="shared" si="41"/>
        <v>29166.666666666668</v>
      </c>
      <c r="D337" s="10">
        <f t="shared" si="37"/>
        <v>181.76371852302586</v>
      </c>
      <c r="E337" s="3">
        <f t="shared" si="38"/>
        <v>29348.430385189695</v>
      </c>
      <c r="F337" s="3">
        <f t="shared" si="35"/>
        <v>833.33333333333337</v>
      </c>
      <c r="G337" s="5">
        <f t="shared" si="39"/>
        <v>1015.0970518563593</v>
      </c>
      <c r="H337" s="5">
        <v>0</v>
      </c>
      <c r="I337" s="5">
        <f t="shared" si="40"/>
        <v>1015.0970518563593</v>
      </c>
      <c r="J337" s="5">
        <f t="shared" si="36"/>
        <v>28333.333333333336</v>
      </c>
      <c r="K337" s="2"/>
    </row>
    <row r="338" spans="1:11" x14ac:dyDescent="0.25">
      <c r="A338" s="8">
        <v>327</v>
      </c>
      <c r="B338" s="9">
        <v>54367</v>
      </c>
      <c r="C338" s="5">
        <f t="shared" si="41"/>
        <v>28333.333333333336</v>
      </c>
      <c r="D338" s="10">
        <f t="shared" si="37"/>
        <v>176.57046942236801</v>
      </c>
      <c r="E338" s="3">
        <f t="shared" si="38"/>
        <v>28509.903802755704</v>
      </c>
      <c r="F338" s="3">
        <f t="shared" si="35"/>
        <v>833.33333333333337</v>
      </c>
      <c r="G338" s="5">
        <f t="shared" si="39"/>
        <v>1009.9038027557013</v>
      </c>
      <c r="H338" s="5">
        <v>0</v>
      </c>
      <c r="I338" s="5">
        <f t="shared" si="40"/>
        <v>1009.9038027557013</v>
      </c>
      <c r="J338" s="5">
        <f t="shared" si="36"/>
        <v>27500.000000000004</v>
      </c>
      <c r="K338" s="2"/>
    </row>
    <row r="339" spans="1:11" x14ac:dyDescent="0.25">
      <c r="A339" s="8">
        <v>328</v>
      </c>
      <c r="B339" s="9">
        <v>54397</v>
      </c>
      <c r="C339" s="5">
        <f t="shared" si="41"/>
        <v>27500.000000000004</v>
      </c>
      <c r="D339" s="10">
        <f t="shared" si="37"/>
        <v>171.37722032171013</v>
      </c>
      <c r="E339" s="3">
        <f t="shared" si="38"/>
        <v>27671.377220321712</v>
      </c>
      <c r="F339" s="3">
        <f t="shared" si="35"/>
        <v>833.33333333333337</v>
      </c>
      <c r="G339" s="5">
        <f t="shared" si="39"/>
        <v>1004.7105536550434</v>
      </c>
      <c r="H339" s="5">
        <v>0</v>
      </c>
      <c r="I339" s="5">
        <f t="shared" si="40"/>
        <v>1004.7105536550434</v>
      </c>
      <c r="J339" s="5">
        <f t="shared" si="36"/>
        <v>26666.666666666668</v>
      </c>
      <c r="K339" s="2"/>
    </row>
    <row r="340" spans="1:11" x14ac:dyDescent="0.25">
      <c r="A340" s="8">
        <v>329</v>
      </c>
      <c r="B340" s="9">
        <v>54428</v>
      </c>
      <c r="C340" s="5">
        <f t="shared" si="41"/>
        <v>26666.666666666668</v>
      </c>
      <c r="D340" s="10">
        <f t="shared" si="37"/>
        <v>166.18397122105222</v>
      </c>
      <c r="E340" s="3">
        <f t="shared" si="38"/>
        <v>26832.850637887721</v>
      </c>
      <c r="F340" s="3">
        <f t="shared" si="35"/>
        <v>833.33333333333337</v>
      </c>
      <c r="G340" s="5">
        <f t="shared" si="39"/>
        <v>999.51730455438565</v>
      </c>
      <c r="H340" s="5">
        <v>0</v>
      </c>
      <c r="I340" s="5">
        <f t="shared" si="40"/>
        <v>999.51730455438565</v>
      </c>
      <c r="J340" s="5">
        <f t="shared" si="36"/>
        <v>25833.333333333336</v>
      </c>
      <c r="K340" s="2"/>
    </row>
    <row r="341" spans="1:11" x14ac:dyDescent="0.25">
      <c r="A341" s="8">
        <v>330</v>
      </c>
      <c r="B341" s="9">
        <v>54459</v>
      </c>
      <c r="C341" s="5">
        <f t="shared" si="41"/>
        <v>25833.333333333336</v>
      </c>
      <c r="D341" s="10">
        <f t="shared" si="37"/>
        <v>160.99072212039434</v>
      </c>
      <c r="E341" s="3">
        <f t="shared" si="38"/>
        <v>25994.32405545373</v>
      </c>
      <c r="F341" s="3">
        <f t="shared" si="35"/>
        <v>833.33333333333337</v>
      </c>
      <c r="G341" s="5">
        <f t="shared" si="39"/>
        <v>994.32405545372774</v>
      </c>
      <c r="H341" s="5">
        <v>0</v>
      </c>
      <c r="I341" s="5">
        <f t="shared" si="40"/>
        <v>994.32405545372774</v>
      </c>
      <c r="J341" s="5">
        <f t="shared" si="36"/>
        <v>25000.000000000004</v>
      </c>
      <c r="K341" s="2"/>
    </row>
    <row r="342" spans="1:11" x14ac:dyDescent="0.25">
      <c r="A342" s="8">
        <v>331</v>
      </c>
      <c r="B342" s="9">
        <v>54487</v>
      </c>
      <c r="C342" s="5">
        <f t="shared" si="41"/>
        <v>25000.000000000004</v>
      </c>
      <c r="D342" s="10">
        <f t="shared" si="37"/>
        <v>155.79747301973649</v>
      </c>
      <c r="E342" s="3">
        <f t="shared" si="38"/>
        <v>25155.797473019738</v>
      </c>
      <c r="F342" s="3">
        <f t="shared" si="35"/>
        <v>833.33333333333337</v>
      </c>
      <c r="G342" s="5">
        <f t="shared" si="39"/>
        <v>989.13080635306983</v>
      </c>
      <c r="H342" s="5">
        <v>0</v>
      </c>
      <c r="I342" s="5">
        <f t="shared" si="40"/>
        <v>989.13080635306983</v>
      </c>
      <c r="J342" s="5">
        <f t="shared" si="36"/>
        <v>24166.666666666668</v>
      </c>
      <c r="K342" s="2"/>
    </row>
    <row r="343" spans="1:11" x14ac:dyDescent="0.25">
      <c r="A343" s="8">
        <v>332</v>
      </c>
      <c r="B343" s="9">
        <v>54518</v>
      </c>
      <c r="C343" s="5">
        <f t="shared" si="41"/>
        <v>24166.666666666668</v>
      </c>
      <c r="D343" s="10">
        <f t="shared" si="37"/>
        <v>150.60422391907858</v>
      </c>
      <c r="E343" s="3">
        <f t="shared" si="38"/>
        <v>24317.270890585747</v>
      </c>
      <c r="F343" s="3">
        <f t="shared" si="35"/>
        <v>833.33333333333337</v>
      </c>
      <c r="G343" s="5">
        <f t="shared" si="39"/>
        <v>983.93755725241192</v>
      </c>
      <c r="H343" s="5">
        <v>0</v>
      </c>
      <c r="I343" s="5">
        <f t="shared" si="40"/>
        <v>983.93755725241192</v>
      </c>
      <c r="J343" s="5">
        <f t="shared" si="36"/>
        <v>23333.333333333336</v>
      </c>
      <c r="K343" s="2"/>
    </row>
    <row r="344" spans="1:11" x14ac:dyDescent="0.25">
      <c r="A344" s="8">
        <v>333</v>
      </c>
      <c r="B344" s="9">
        <v>54548</v>
      </c>
      <c r="C344" s="5">
        <f t="shared" si="41"/>
        <v>23333.333333333336</v>
      </c>
      <c r="D344" s="10">
        <f t="shared" si="37"/>
        <v>145.4109748184207</v>
      </c>
      <c r="E344" s="3">
        <f t="shared" si="38"/>
        <v>23478.744308151756</v>
      </c>
      <c r="F344" s="3">
        <f t="shared" si="35"/>
        <v>833.33333333333337</v>
      </c>
      <c r="G344" s="5">
        <f t="shared" si="39"/>
        <v>978.74430815175401</v>
      </c>
      <c r="H344" s="5">
        <v>0</v>
      </c>
      <c r="I344" s="5">
        <f t="shared" si="40"/>
        <v>978.74430815175401</v>
      </c>
      <c r="J344" s="5">
        <f t="shared" si="36"/>
        <v>22500</v>
      </c>
      <c r="K344" s="2"/>
    </row>
    <row r="345" spans="1:11" x14ac:dyDescent="0.25">
      <c r="A345" s="8">
        <v>334</v>
      </c>
      <c r="B345" s="9">
        <v>54579</v>
      </c>
      <c r="C345" s="5">
        <f t="shared" si="41"/>
        <v>22500</v>
      </c>
      <c r="D345" s="10">
        <f t="shared" si="37"/>
        <v>140.21772571776282</v>
      </c>
      <c r="E345" s="3">
        <f t="shared" si="38"/>
        <v>22640.217725717765</v>
      </c>
      <c r="F345" s="3">
        <f t="shared" si="35"/>
        <v>833.33333333333337</v>
      </c>
      <c r="G345" s="5">
        <f t="shared" si="39"/>
        <v>973.55105905109622</v>
      </c>
      <c r="H345" s="5">
        <v>0</v>
      </c>
      <c r="I345" s="5">
        <f t="shared" si="40"/>
        <v>973.55105905109622</v>
      </c>
      <c r="J345" s="5">
        <f t="shared" si="36"/>
        <v>21666.666666666668</v>
      </c>
      <c r="K345" s="2"/>
    </row>
    <row r="346" spans="1:11" x14ac:dyDescent="0.25">
      <c r="A346" s="8">
        <v>335</v>
      </c>
      <c r="B346" s="9">
        <v>54609</v>
      </c>
      <c r="C346" s="5">
        <f t="shared" si="41"/>
        <v>21666.666666666668</v>
      </c>
      <c r="D346" s="10">
        <f t="shared" si="37"/>
        <v>135.02447661710494</v>
      </c>
      <c r="E346" s="3">
        <f t="shared" si="38"/>
        <v>21801.691143283773</v>
      </c>
      <c r="F346" s="3">
        <f t="shared" si="35"/>
        <v>833.33333333333337</v>
      </c>
      <c r="G346" s="5">
        <f t="shared" si="39"/>
        <v>968.35780995043831</v>
      </c>
      <c r="H346" s="5">
        <v>0</v>
      </c>
      <c r="I346" s="5">
        <f t="shared" si="40"/>
        <v>968.35780995043831</v>
      </c>
      <c r="J346" s="5">
        <f t="shared" si="36"/>
        <v>20833.333333333336</v>
      </c>
      <c r="K346" s="2"/>
    </row>
    <row r="347" spans="1:11" x14ac:dyDescent="0.25">
      <c r="A347" s="8">
        <v>336</v>
      </c>
      <c r="B347" s="9">
        <v>54640</v>
      </c>
      <c r="C347" s="5">
        <f t="shared" si="41"/>
        <v>20833.333333333336</v>
      </c>
      <c r="D347" s="10">
        <f t="shared" si="37"/>
        <v>129.83122751644706</v>
      </c>
      <c r="E347" s="3">
        <f t="shared" si="38"/>
        <v>20963.164560849782</v>
      </c>
      <c r="F347" s="3">
        <f t="shared" si="35"/>
        <v>833.33333333333337</v>
      </c>
      <c r="G347" s="5">
        <f t="shared" si="39"/>
        <v>963.1645608497804</v>
      </c>
      <c r="H347" s="5">
        <v>0</v>
      </c>
      <c r="I347" s="5">
        <f t="shared" si="40"/>
        <v>963.1645608497804</v>
      </c>
      <c r="J347" s="5">
        <f t="shared" si="36"/>
        <v>20000</v>
      </c>
      <c r="K347" s="2"/>
    </row>
    <row r="348" spans="1:11" x14ac:dyDescent="0.25">
      <c r="A348" s="8">
        <v>337</v>
      </c>
      <c r="B348" s="9">
        <v>54671</v>
      </c>
      <c r="C348" s="5">
        <f t="shared" si="41"/>
        <v>20000</v>
      </c>
      <c r="D348" s="10">
        <f t="shared" si="37"/>
        <v>124.63797841578916</v>
      </c>
      <c r="E348" s="3">
        <f t="shared" si="38"/>
        <v>20124.637978415791</v>
      </c>
      <c r="F348" s="3">
        <f t="shared" si="35"/>
        <v>833.33333333333337</v>
      </c>
      <c r="G348" s="5">
        <f t="shared" si="39"/>
        <v>957.97131174912249</v>
      </c>
      <c r="H348" s="5">
        <v>0</v>
      </c>
      <c r="I348" s="5">
        <f t="shared" si="40"/>
        <v>957.97131174912249</v>
      </c>
      <c r="J348" s="5">
        <f t="shared" si="36"/>
        <v>19166.666666666668</v>
      </c>
      <c r="K348" s="2"/>
    </row>
    <row r="349" spans="1:11" x14ac:dyDescent="0.25">
      <c r="A349" s="8">
        <v>338</v>
      </c>
      <c r="B349" s="9">
        <v>54701</v>
      </c>
      <c r="C349" s="5">
        <f t="shared" si="41"/>
        <v>19166.666666666668</v>
      </c>
      <c r="D349" s="10">
        <f t="shared" si="37"/>
        <v>119.44472931513128</v>
      </c>
      <c r="E349" s="3">
        <f t="shared" si="38"/>
        <v>19286.111395981799</v>
      </c>
      <c r="F349" s="3">
        <f t="shared" si="35"/>
        <v>833.33333333333337</v>
      </c>
      <c r="G349" s="5">
        <f t="shared" si="39"/>
        <v>952.7780626484647</v>
      </c>
      <c r="H349" s="5">
        <v>0</v>
      </c>
      <c r="I349" s="5">
        <f t="shared" si="40"/>
        <v>952.7780626484647</v>
      </c>
      <c r="J349" s="5">
        <f t="shared" si="36"/>
        <v>18333.333333333336</v>
      </c>
      <c r="K349" s="2"/>
    </row>
    <row r="350" spans="1:11" x14ac:dyDescent="0.25">
      <c r="A350" s="8">
        <v>339</v>
      </c>
      <c r="B350" s="9">
        <v>54732</v>
      </c>
      <c r="C350" s="5">
        <f t="shared" si="41"/>
        <v>18333.333333333336</v>
      </c>
      <c r="D350" s="10">
        <f t="shared" si="37"/>
        <v>114.25148021447342</v>
      </c>
      <c r="E350" s="3">
        <f t="shared" si="38"/>
        <v>18447.584813547808</v>
      </c>
      <c r="F350" s="3">
        <f t="shared" si="35"/>
        <v>833.33333333333337</v>
      </c>
      <c r="G350" s="5">
        <f t="shared" si="39"/>
        <v>947.58481354780679</v>
      </c>
      <c r="H350" s="5">
        <v>0</v>
      </c>
      <c r="I350" s="5">
        <f t="shared" si="40"/>
        <v>947.58481354780679</v>
      </c>
      <c r="J350" s="5">
        <f t="shared" si="36"/>
        <v>17500</v>
      </c>
      <c r="K350" s="2"/>
    </row>
    <row r="351" spans="1:11" x14ac:dyDescent="0.25">
      <c r="A351" s="8">
        <v>340</v>
      </c>
      <c r="B351" s="9">
        <v>54762</v>
      </c>
      <c r="C351" s="5">
        <f t="shared" si="41"/>
        <v>17500</v>
      </c>
      <c r="D351" s="10">
        <f t="shared" si="37"/>
        <v>109.05823111381552</v>
      </c>
      <c r="E351" s="3">
        <f t="shared" si="38"/>
        <v>17609.058231113817</v>
      </c>
      <c r="F351" s="3">
        <f t="shared" si="35"/>
        <v>833.33333333333337</v>
      </c>
      <c r="G351" s="5">
        <f t="shared" si="39"/>
        <v>942.39156444714888</v>
      </c>
      <c r="H351" s="5">
        <v>0</v>
      </c>
      <c r="I351" s="5">
        <f t="shared" si="40"/>
        <v>942.39156444714888</v>
      </c>
      <c r="J351" s="5">
        <f t="shared" si="36"/>
        <v>16666.666666666668</v>
      </c>
      <c r="K351" s="2"/>
    </row>
    <row r="352" spans="1:11" x14ac:dyDescent="0.25">
      <c r="A352" s="8">
        <v>341</v>
      </c>
      <c r="B352" s="9">
        <v>54793</v>
      </c>
      <c r="C352" s="5">
        <f t="shared" si="41"/>
        <v>16666.666666666668</v>
      </c>
      <c r="D352" s="10">
        <f t="shared" si="37"/>
        <v>103.86498201315764</v>
      </c>
      <c r="E352" s="3">
        <f t="shared" si="38"/>
        <v>16770.531648679826</v>
      </c>
      <c r="F352" s="3">
        <f t="shared" si="35"/>
        <v>833.33333333333337</v>
      </c>
      <c r="G352" s="5">
        <f t="shared" si="39"/>
        <v>937.19831534649097</v>
      </c>
      <c r="H352" s="5">
        <v>0</v>
      </c>
      <c r="I352" s="5">
        <f t="shared" si="40"/>
        <v>937.19831534649097</v>
      </c>
      <c r="J352" s="5">
        <f t="shared" si="36"/>
        <v>15833.333333333334</v>
      </c>
      <c r="K352" s="2"/>
    </row>
    <row r="353" spans="1:11" x14ac:dyDescent="0.25">
      <c r="A353" s="8">
        <v>342</v>
      </c>
      <c r="B353" s="9">
        <v>54824</v>
      </c>
      <c r="C353" s="5">
        <f t="shared" si="41"/>
        <v>15833.333333333334</v>
      </c>
      <c r="D353" s="10">
        <f t="shared" si="37"/>
        <v>98.671732912499763</v>
      </c>
      <c r="E353" s="3">
        <f t="shared" si="38"/>
        <v>15932.005066245834</v>
      </c>
      <c r="F353" s="3">
        <f t="shared" si="35"/>
        <v>833.33333333333337</v>
      </c>
      <c r="G353" s="5">
        <f t="shared" si="39"/>
        <v>932.00506624583318</v>
      </c>
      <c r="H353" s="5">
        <v>0</v>
      </c>
      <c r="I353" s="5">
        <f t="shared" si="40"/>
        <v>932.00506624583318</v>
      </c>
      <c r="J353" s="5">
        <f t="shared" si="36"/>
        <v>15000.000000000002</v>
      </c>
      <c r="K353" s="2"/>
    </row>
    <row r="354" spans="1:11" x14ac:dyDescent="0.25">
      <c r="A354" s="8">
        <v>343</v>
      </c>
      <c r="B354" s="9">
        <v>54852</v>
      </c>
      <c r="C354" s="5">
        <f t="shared" si="41"/>
        <v>15000.000000000002</v>
      </c>
      <c r="D354" s="10">
        <f t="shared" si="37"/>
        <v>93.478483811841883</v>
      </c>
      <c r="E354" s="3">
        <f t="shared" si="38"/>
        <v>15093.478483811843</v>
      </c>
      <c r="F354" s="3">
        <f t="shared" si="35"/>
        <v>833.33333333333337</v>
      </c>
      <c r="G354" s="5">
        <f t="shared" si="39"/>
        <v>926.81181714517527</v>
      </c>
      <c r="H354" s="5">
        <v>0</v>
      </c>
      <c r="I354" s="5">
        <f t="shared" si="40"/>
        <v>926.81181714517527</v>
      </c>
      <c r="J354" s="5">
        <f t="shared" si="36"/>
        <v>14166.666666666668</v>
      </c>
      <c r="K354" s="2"/>
    </row>
    <row r="355" spans="1:11" x14ac:dyDescent="0.25">
      <c r="A355" s="8">
        <v>344</v>
      </c>
      <c r="B355" s="9">
        <v>54883</v>
      </c>
      <c r="C355" s="5">
        <f t="shared" si="41"/>
        <v>14166.666666666668</v>
      </c>
      <c r="D355" s="10">
        <f t="shared" si="37"/>
        <v>88.285234711184003</v>
      </c>
      <c r="E355" s="3">
        <f t="shared" si="38"/>
        <v>14254.951901377852</v>
      </c>
      <c r="F355" s="3">
        <f t="shared" si="35"/>
        <v>833.33333333333337</v>
      </c>
      <c r="G355" s="5">
        <f t="shared" si="39"/>
        <v>921.61856804451736</v>
      </c>
      <c r="H355" s="5">
        <v>0</v>
      </c>
      <c r="I355" s="5">
        <f t="shared" si="40"/>
        <v>921.61856804451736</v>
      </c>
      <c r="J355" s="5">
        <f t="shared" si="36"/>
        <v>13333.333333333334</v>
      </c>
      <c r="K355" s="2"/>
    </row>
    <row r="356" spans="1:11" x14ac:dyDescent="0.25">
      <c r="A356" s="8">
        <v>345</v>
      </c>
      <c r="B356" s="9">
        <v>54913</v>
      </c>
      <c r="C356" s="5">
        <f t="shared" si="41"/>
        <v>13333.333333333334</v>
      </c>
      <c r="D356" s="10">
        <f t="shared" si="37"/>
        <v>83.091985610526109</v>
      </c>
      <c r="E356" s="3">
        <f t="shared" si="38"/>
        <v>13416.42531894386</v>
      </c>
      <c r="F356" s="3">
        <f t="shared" si="35"/>
        <v>833.33333333333337</v>
      </c>
      <c r="G356" s="5">
        <f t="shared" si="39"/>
        <v>916.42531894385945</v>
      </c>
      <c r="H356" s="5">
        <v>0</v>
      </c>
      <c r="I356" s="5">
        <f t="shared" si="40"/>
        <v>916.42531894385945</v>
      </c>
      <c r="J356" s="5">
        <f t="shared" si="36"/>
        <v>12500.000000000002</v>
      </c>
      <c r="K356" s="2"/>
    </row>
    <row r="357" spans="1:11" x14ac:dyDescent="0.25">
      <c r="A357" s="8">
        <v>346</v>
      </c>
      <c r="B357" s="9">
        <v>54944</v>
      </c>
      <c r="C357" s="5">
        <f t="shared" si="41"/>
        <v>12500.000000000002</v>
      </c>
      <c r="D357" s="10">
        <f t="shared" si="37"/>
        <v>77.898736509868243</v>
      </c>
      <c r="E357" s="3">
        <f t="shared" si="38"/>
        <v>12577.898736509869</v>
      </c>
      <c r="F357" s="3">
        <f t="shared" si="35"/>
        <v>833.33333333333337</v>
      </c>
      <c r="G357" s="5">
        <f t="shared" si="39"/>
        <v>911.23206984320166</v>
      </c>
      <c r="H357" s="5">
        <v>0</v>
      </c>
      <c r="I357" s="5">
        <f t="shared" si="40"/>
        <v>911.23206984320166</v>
      </c>
      <c r="J357" s="5">
        <f t="shared" si="36"/>
        <v>11666.666666666668</v>
      </c>
      <c r="K357" s="2"/>
    </row>
    <row r="358" spans="1:11" x14ac:dyDescent="0.25">
      <c r="A358" s="8">
        <v>347</v>
      </c>
      <c r="B358" s="9">
        <v>54974</v>
      </c>
      <c r="C358" s="5">
        <f t="shared" si="41"/>
        <v>11666.666666666668</v>
      </c>
      <c r="D358" s="10">
        <f t="shared" si="37"/>
        <v>72.705487409210349</v>
      </c>
      <c r="E358" s="3">
        <f t="shared" si="38"/>
        <v>11739.372154075878</v>
      </c>
      <c r="F358" s="3">
        <f t="shared" si="35"/>
        <v>833.33333333333337</v>
      </c>
      <c r="G358" s="5">
        <f t="shared" si="39"/>
        <v>906.03882074254375</v>
      </c>
      <c r="H358" s="5">
        <v>0</v>
      </c>
      <c r="I358" s="5">
        <f t="shared" si="40"/>
        <v>906.03882074254375</v>
      </c>
      <c r="J358" s="5">
        <f t="shared" si="36"/>
        <v>10833.333333333334</v>
      </c>
      <c r="K358" s="2"/>
    </row>
    <row r="359" spans="1:11" x14ac:dyDescent="0.25">
      <c r="A359" s="8">
        <v>348</v>
      </c>
      <c r="B359" s="9">
        <v>55005</v>
      </c>
      <c r="C359" s="5">
        <f t="shared" si="41"/>
        <v>10833.333333333334</v>
      </c>
      <c r="D359" s="10">
        <f t="shared" si="37"/>
        <v>67.512238308552469</v>
      </c>
      <c r="E359" s="3">
        <f t="shared" si="38"/>
        <v>10900.845571641887</v>
      </c>
      <c r="F359" s="3">
        <f t="shared" si="35"/>
        <v>833.33333333333337</v>
      </c>
      <c r="G359" s="5">
        <f t="shared" si="39"/>
        <v>900.84557164188584</v>
      </c>
      <c r="H359" s="5">
        <v>0</v>
      </c>
      <c r="I359" s="5">
        <f t="shared" si="40"/>
        <v>900.84557164188584</v>
      </c>
      <c r="J359" s="5">
        <f t="shared" si="36"/>
        <v>10000</v>
      </c>
      <c r="K359" s="2"/>
    </row>
    <row r="360" spans="1:11" x14ac:dyDescent="0.25">
      <c r="A360" s="8">
        <v>349</v>
      </c>
      <c r="B360" s="9">
        <v>55036</v>
      </c>
      <c r="C360" s="5">
        <f t="shared" si="41"/>
        <v>10000</v>
      </c>
      <c r="D360" s="10">
        <f t="shared" si="37"/>
        <v>62.318989207894582</v>
      </c>
      <c r="E360" s="3">
        <f t="shared" si="38"/>
        <v>10062.318989207895</v>
      </c>
      <c r="F360" s="3">
        <f t="shared" si="35"/>
        <v>833.33333333333337</v>
      </c>
      <c r="G360" s="5">
        <f t="shared" si="39"/>
        <v>895.65232254122793</v>
      </c>
      <c r="H360" s="5">
        <v>0</v>
      </c>
      <c r="I360" s="5">
        <f t="shared" si="40"/>
        <v>895.65232254122793</v>
      </c>
      <c r="J360" s="5">
        <f t="shared" si="36"/>
        <v>9166.6666666666679</v>
      </c>
      <c r="K360" s="2"/>
    </row>
    <row r="361" spans="1:11" x14ac:dyDescent="0.25">
      <c r="A361" s="8">
        <v>350</v>
      </c>
      <c r="B361" s="9">
        <v>55066</v>
      </c>
      <c r="C361" s="5">
        <f t="shared" si="41"/>
        <v>9166.6666666666679</v>
      </c>
      <c r="D361" s="10">
        <f t="shared" si="37"/>
        <v>57.125740107236709</v>
      </c>
      <c r="E361" s="3">
        <f t="shared" si="38"/>
        <v>9223.7924067739041</v>
      </c>
      <c r="F361" s="3">
        <f t="shared" si="35"/>
        <v>833.33333333333337</v>
      </c>
      <c r="G361" s="5">
        <f t="shared" si="39"/>
        <v>890.45907344057014</v>
      </c>
      <c r="H361" s="5">
        <v>0</v>
      </c>
      <c r="I361" s="5">
        <f t="shared" si="40"/>
        <v>890.45907344057014</v>
      </c>
      <c r="J361" s="5">
        <f t="shared" si="36"/>
        <v>8333.3333333333339</v>
      </c>
      <c r="K361" s="2"/>
    </row>
    <row r="362" spans="1:11" x14ac:dyDescent="0.25">
      <c r="A362" s="8">
        <v>351</v>
      </c>
      <c r="B362" s="9">
        <v>55097</v>
      </c>
      <c r="C362" s="5">
        <f t="shared" si="41"/>
        <v>8333.3333333333339</v>
      </c>
      <c r="D362" s="10">
        <f t="shared" si="37"/>
        <v>51.932491006578822</v>
      </c>
      <c r="E362" s="3">
        <f t="shared" si="38"/>
        <v>8385.2658243399128</v>
      </c>
      <c r="F362" s="3">
        <f t="shared" si="35"/>
        <v>833.33333333333337</v>
      </c>
      <c r="G362" s="5">
        <f t="shared" si="39"/>
        <v>885.26582433991223</v>
      </c>
      <c r="H362" s="5">
        <v>0</v>
      </c>
      <c r="I362" s="5">
        <f t="shared" si="40"/>
        <v>885.26582433991223</v>
      </c>
      <c r="J362" s="5">
        <f t="shared" si="36"/>
        <v>7500.0000000000009</v>
      </c>
      <c r="K362" s="2"/>
    </row>
    <row r="363" spans="1:11" x14ac:dyDescent="0.25">
      <c r="A363" s="8">
        <v>352</v>
      </c>
      <c r="B363" s="9">
        <v>55127</v>
      </c>
      <c r="C363" s="5">
        <f t="shared" si="41"/>
        <v>7500.0000000000009</v>
      </c>
      <c r="D363" s="10">
        <f t="shared" si="37"/>
        <v>46.739241905920942</v>
      </c>
      <c r="E363" s="3">
        <f t="shared" si="38"/>
        <v>7546.7392419059215</v>
      </c>
      <c r="F363" s="3">
        <f t="shared" si="35"/>
        <v>833.33333333333337</v>
      </c>
      <c r="G363" s="5">
        <f t="shared" si="39"/>
        <v>880.07257523925432</v>
      </c>
      <c r="H363" s="5">
        <v>0</v>
      </c>
      <c r="I363" s="5">
        <f t="shared" si="40"/>
        <v>880.07257523925432</v>
      </c>
      <c r="J363" s="5">
        <f t="shared" si="36"/>
        <v>6666.666666666667</v>
      </c>
      <c r="K363" s="2"/>
    </row>
    <row r="364" spans="1:11" x14ac:dyDescent="0.25">
      <c r="A364" s="8">
        <v>353</v>
      </c>
      <c r="B364" s="9">
        <v>55158</v>
      </c>
      <c r="C364" s="5">
        <f t="shared" si="41"/>
        <v>6666.666666666667</v>
      </c>
      <c r="D364" s="10">
        <f t="shared" si="37"/>
        <v>41.545992805263054</v>
      </c>
      <c r="E364" s="3">
        <f t="shared" si="38"/>
        <v>6708.2126594719302</v>
      </c>
      <c r="F364" s="3">
        <f t="shared" si="35"/>
        <v>833.33333333333337</v>
      </c>
      <c r="G364" s="5">
        <f t="shared" si="39"/>
        <v>874.87932613859641</v>
      </c>
      <c r="H364" s="5">
        <v>0</v>
      </c>
      <c r="I364" s="5">
        <f t="shared" si="40"/>
        <v>874.87932613859641</v>
      </c>
      <c r="J364" s="5">
        <f t="shared" si="36"/>
        <v>5833.3333333333339</v>
      </c>
      <c r="K364" s="2"/>
    </row>
    <row r="365" spans="1:11" x14ac:dyDescent="0.25">
      <c r="A365" s="8">
        <v>354</v>
      </c>
      <c r="B365" s="9">
        <v>55189</v>
      </c>
      <c r="C365" s="5">
        <f t="shared" si="41"/>
        <v>5833.3333333333339</v>
      </c>
      <c r="D365" s="10">
        <f t="shared" si="37"/>
        <v>36.352743704605174</v>
      </c>
      <c r="E365" s="3">
        <f t="shared" si="38"/>
        <v>5869.686077037939</v>
      </c>
      <c r="F365" s="3">
        <f t="shared" si="35"/>
        <v>833.33333333333337</v>
      </c>
      <c r="G365" s="5">
        <f t="shared" si="39"/>
        <v>869.6860770379385</v>
      </c>
      <c r="H365" s="5">
        <v>0</v>
      </c>
      <c r="I365" s="5">
        <f t="shared" si="40"/>
        <v>869.6860770379385</v>
      </c>
      <c r="J365" s="5">
        <f t="shared" si="36"/>
        <v>5000</v>
      </c>
      <c r="K365" s="2"/>
    </row>
    <row r="366" spans="1:11" x14ac:dyDescent="0.25">
      <c r="A366" s="8">
        <v>355</v>
      </c>
      <c r="B366" s="9">
        <v>55217</v>
      </c>
      <c r="C366" s="5">
        <f t="shared" si="41"/>
        <v>5000</v>
      </c>
      <c r="D366" s="10">
        <f t="shared" si="37"/>
        <v>31.159494603947291</v>
      </c>
      <c r="E366" s="3">
        <f t="shared" si="38"/>
        <v>5031.1594946039477</v>
      </c>
      <c r="F366" s="3">
        <f t="shared" si="35"/>
        <v>833.33333333333337</v>
      </c>
      <c r="G366" s="5">
        <f t="shared" si="39"/>
        <v>864.49282793728071</v>
      </c>
      <c r="H366" s="5">
        <v>0</v>
      </c>
      <c r="I366" s="5">
        <f t="shared" si="40"/>
        <v>864.49282793728071</v>
      </c>
      <c r="J366" s="5">
        <f t="shared" si="36"/>
        <v>4166.666666666667</v>
      </c>
      <c r="K366" s="2"/>
    </row>
    <row r="367" spans="1:11" x14ac:dyDescent="0.25">
      <c r="A367" s="8">
        <v>356</v>
      </c>
      <c r="B367" s="9">
        <v>55248</v>
      </c>
      <c r="C367" s="5">
        <f t="shared" si="41"/>
        <v>4166.666666666667</v>
      </c>
      <c r="D367" s="10">
        <f t="shared" si="37"/>
        <v>25.966245503289411</v>
      </c>
      <c r="E367" s="3">
        <f t="shared" si="38"/>
        <v>4192.6329121699564</v>
      </c>
      <c r="F367" s="3">
        <f t="shared" si="35"/>
        <v>833.33333333333337</v>
      </c>
      <c r="G367" s="5">
        <f t="shared" si="39"/>
        <v>859.2995788366228</v>
      </c>
      <c r="H367" s="5">
        <v>0</v>
      </c>
      <c r="I367" s="5">
        <f t="shared" si="40"/>
        <v>859.2995788366228</v>
      </c>
      <c r="J367" s="5">
        <f t="shared" si="36"/>
        <v>3333.3333333333335</v>
      </c>
      <c r="K367" s="2"/>
    </row>
    <row r="368" spans="1:11" x14ac:dyDescent="0.25">
      <c r="A368" s="8">
        <v>357</v>
      </c>
      <c r="B368" s="9">
        <v>55278</v>
      </c>
      <c r="C368" s="5">
        <f t="shared" si="41"/>
        <v>3333.3333333333335</v>
      </c>
      <c r="D368" s="10">
        <f t="shared" si="37"/>
        <v>20.772996402631527</v>
      </c>
      <c r="E368" s="3">
        <f t="shared" si="38"/>
        <v>3354.1063297359651</v>
      </c>
      <c r="F368" s="3">
        <f t="shared" si="35"/>
        <v>833.33333333333337</v>
      </c>
      <c r="G368" s="5">
        <f t="shared" si="39"/>
        <v>854.10632973596489</v>
      </c>
      <c r="H368" s="5">
        <v>0</v>
      </c>
      <c r="I368" s="5">
        <f t="shared" si="40"/>
        <v>854.10632973596489</v>
      </c>
      <c r="J368" s="5">
        <f t="shared" si="36"/>
        <v>2500</v>
      </c>
      <c r="K368" s="2"/>
    </row>
    <row r="369" spans="1:11" x14ac:dyDescent="0.25">
      <c r="A369" s="8">
        <v>358</v>
      </c>
      <c r="B369" s="9">
        <v>55309</v>
      </c>
      <c r="C369" s="5">
        <f t="shared" si="41"/>
        <v>2500</v>
      </c>
      <c r="D369" s="10">
        <f t="shared" si="37"/>
        <v>15.579747301973645</v>
      </c>
      <c r="E369" s="3">
        <f t="shared" si="38"/>
        <v>2515.5797473019738</v>
      </c>
      <c r="F369" s="3">
        <f t="shared" si="35"/>
        <v>833.33333333333337</v>
      </c>
      <c r="G369" s="5">
        <f t="shared" si="39"/>
        <v>848.91308063530698</v>
      </c>
      <c r="H369" s="5">
        <v>0</v>
      </c>
      <c r="I369" s="5">
        <f t="shared" si="40"/>
        <v>848.91308063530698</v>
      </c>
      <c r="J369" s="5">
        <f t="shared" si="36"/>
        <v>1666.666666666667</v>
      </c>
      <c r="K369" s="2"/>
    </row>
    <row r="370" spans="1:11" x14ac:dyDescent="0.25">
      <c r="A370" s="8">
        <v>359</v>
      </c>
      <c r="B370" s="9">
        <v>55339</v>
      </c>
      <c r="C370" s="5">
        <f t="shared" si="41"/>
        <v>1666.666666666667</v>
      </c>
      <c r="D370" s="10">
        <f t="shared" si="37"/>
        <v>10.386498201315765</v>
      </c>
      <c r="E370" s="3">
        <f t="shared" si="38"/>
        <v>1677.0531648679828</v>
      </c>
      <c r="F370" s="3">
        <f t="shared" si="35"/>
        <v>833.33333333333337</v>
      </c>
      <c r="G370" s="5">
        <f t="shared" si="39"/>
        <v>843.71983153464919</v>
      </c>
      <c r="H370" s="5">
        <v>0</v>
      </c>
      <c r="I370" s="5">
        <f t="shared" si="40"/>
        <v>843.71983153464919</v>
      </c>
      <c r="J370" s="5">
        <f t="shared" si="36"/>
        <v>833.3333333333336</v>
      </c>
      <c r="K370" s="2"/>
    </row>
    <row r="371" spans="1:11" x14ac:dyDescent="0.25">
      <c r="A371" s="8">
        <v>360</v>
      </c>
      <c r="B371" s="9">
        <v>55370</v>
      </c>
      <c r="C371" s="5">
        <f t="shared" si="41"/>
        <v>833.3333333333336</v>
      </c>
      <c r="D371" s="10">
        <f t="shared" si="37"/>
        <v>5.1932491006578836</v>
      </c>
      <c r="E371" s="3">
        <f t="shared" si="38"/>
        <v>838.52658243399151</v>
      </c>
      <c r="F371" s="3">
        <f t="shared" si="35"/>
        <v>833.33333333333337</v>
      </c>
      <c r="G371" s="5">
        <f t="shared" si="39"/>
        <v>838.52658243399128</v>
      </c>
      <c r="H371" s="5">
        <v>0</v>
      </c>
      <c r="I371" s="5">
        <f t="shared" si="40"/>
        <v>838.52658243399128</v>
      </c>
      <c r="J371" s="5">
        <f t="shared" si="36"/>
        <v>0</v>
      </c>
      <c r="K371" s="2"/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B7095-1072-46AB-A30D-E4BC5923A5E4}">
  <dimension ref="A1:K431"/>
  <sheetViews>
    <sheetView tabSelected="1" zoomScale="110" zoomScaleNormal="110" workbookViewId="0">
      <pane ySplit="11" topLeftCell="A124" activePane="bottomLeft" state="frozen"/>
      <selection pane="bottomLeft" activeCell="B126" sqref="B126"/>
    </sheetView>
  </sheetViews>
  <sheetFormatPr defaultRowHeight="15.75" x14ac:dyDescent="0.25"/>
  <cols>
    <col min="1" max="1" width="6.5703125" style="16" bestFit="1" customWidth="1"/>
    <col min="2" max="2" width="16.5703125" style="16" bestFit="1" customWidth="1"/>
    <col min="3" max="3" width="16.42578125" style="16" bestFit="1" customWidth="1"/>
    <col min="4" max="4" width="14" style="16" bestFit="1" customWidth="1"/>
    <col min="5" max="5" width="16.42578125" style="16" bestFit="1" customWidth="1"/>
    <col min="6" max="6" width="22.28515625" style="16" bestFit="1" customWidth="1"/>
    <col min="7" max="7" width="16.42578125" style="16" bestFit="1" customWidth="1"/>
    <col min="8" max="9" width="15.140625" style="16" bestFit="1" customWidth="1"/>
    <col min="10" max="10" width="17.7109375" style="16" bestFit="1" customWidth="1"/>
    <col min="11" max="11" width="8.5703125" style="16" bestFit="1" customWidth="1"/>
    <col min="12" max="16384" width="9.140625" style="16"/>
  </cols>
  <sheetData>
    <row r="1" spans="1:11" x14ac:dyDescent="0.25">
      <c r="B1" s="17" t="s">
        <v>0</v>
      </c>
      <c r="C1" s="17" t="s">
        <v>1</v>
      </c>
      <c r="F1" s="17" t="s">
        <v>8</v>
      </c>
      <c r="G1" s="17" t="s">
        <v>1</v>
      </c>
    </row>
    <row r="2" spans="1:11" x14ac:dyDescent="0.25">
      <c r="B2" s="18" t="s">
        <v>2</v>
      </c>
      <c r="C2" s="19">
        <v>350000</v>
      </c>
      <c r="F2" s="18" t="s">
        <v>9</v>
      </c>
      <c r="G2" s="20">
        <f>C4</f>
        <v>250000</v>
      </c>
    </row>
    <row r="3" spans="1:11" x14ac:dyDescent="0.25">
      <c r="B3" s="18" t="s">
        <v>3</v>
      </c>
      <c r="C3" s="19">
        <v>100000</v>
      </c>
      <c r="F3" s="18" t="s">
        <v>10</v>
      </c>
      <c r="G3" s="20">
        <f>SUM(I12:I371)</f>
        <v>373656.21972739528</v>
      </c>
      <c r="H3" s="21"/>
      <c r="I3" s="22"/>
    </row>
    <row r="4" spans="1:11" x14ac:dyDescent="0.25">
      <c r="B4" s="18" t="s">
        <v>4</v>
      </c>
      <c r="C4" s="19">
        <f>C2-C3</f>
        <v>250000</v>
      </c>
      <c r="F4" s="18" t="s">
        <v>11</v>
      </c>
      <c r="G4" s="23">
        <f>G3-G2</f>
        <v>123656.21972739528</v>
      </c>
    </row>
    <row r="5" spans="1:11" x14ac:dyDescent="0.25">
      <c r="B5" s="18" t="s">
        <v>25</v>
      </c>
      <c r="C5" s="24">
        <v>0.112</v>
      </c>
      <c r="F5" s="18" t="s">
        <v>12</v>
      </c>
      <c r="G5" s="20">
        <f>MAX($I$12:$I$431)</f>
        <v>16286.303641950311</v>
      </c>
    </row>
    <row r="6" spans="1:11" x14ac:dyDescent="0.25">
      <c r="B6" s="18" t="s">
        <v>5</v>
      </c>
      <c r="C6" s="24">
        <f>(1+C5)^(1/12)-1</f>
        <v>8.8859305371316033E-3</v>
      </c>
      <c r="D6" s="16" t="s">
        <v>31</v>
      </c>
      <c r="E6" s="16" t="s">
        <v>32</v>
      </c>
      <c r="F6" s="18" t="s">
        <v>13</v>
      </c>
      <c r="G6" s="20" cm="1">
        <f t="array" ref="G6">MIN(IF($I$12:$I$431&gt;0,$I$12:$I$431))</f>
        <v>2087.7796752555032</v>
      </c>
    </row>
    <row r="7" spans="1:11" x14ac:dyDescent="0.25">
      <c r="B7" s="18" t="s">
        <v>24</v>
      </c>
      <c r="C7" s="18">
        <v>10</v>
      </c>
      <c r="F7" s="18" t="s">
        <v>14</v>
      </c>
      <c r="G7" s="24">
        <f>G4/G3</f>
        <v>0.33093579926920508</v>
      </c>
    </row>
    <row r="8" spans="1:11" x14ac:dyDescent="0.25">
      <c r="B8" s="18" t="s">
        <v>6</v>
      </c>
      <c r="C8" s="18">
        <f>C7*12</f>
        <v>120</v>
      </c>
      <c r="F8" s="18" t="s">
        <v>28</v>
      </c>
      <c r="G8" s="24">
        <f>G7/(30*12)</f>
        <v>9.1926610908112517E-4</v>
      </c>
    </row>
    <row r="9" spans="1:11" x14ac:dyDescent="0.25">
      <c r="B9" s="18" t="s">
        <v>7</v>
      </c>
      <c r="C9" s="20">
        <f>SUM(H12:H431)</f>
        <v>12000</v>
      </c>
    </row>
    <row r="11" spans="1:11" x14ac:dyDescent="0.25">
      <c r="A11" s="17" t="s">
        <v>15</v>
      </c>
      <c r="B11" s="17" t="s">
        <v>16</v>
      </c>
      <c r="C11" s="17" t="s">
        <v>26</v>
      </c>
      <c r="D11" s="17" t="s">
        <v>17</v>
      </c>
      <c r="E11" s="17" t="s">
        <v>18</v>
      </c>
      <c r="F11" s="17" t="s">
        <v>19</v>
      </c>
      <c r="G11" s="17" t="s">
        <v>20</v>
      </c>
      <c r="H11" s="17" t="s">
        <v>21</v>
      </c>
      <c r="I11" s="17" t="s">
        <v>22</v>
      </c>
      <c r="J11" s="17" t="s">
        <v>29</v>
      </c>
      <c r="K11" s="17" t="s">
        <v>27</v>
      </c>
    </row>
    <row r="12" spans="1:11" x14ac:dyDescent="0.25">
      <c r="A12" s="25">
        <v>1</v>
      </c>
      <c r="B12" s="26">
        <v>44562</v>
      </c>
      <c r="C12" s="20">
        <f>C4</f>
        <v>250000</v>
      </c>
      <c r="D12" s="27">
        <f>C12*$C$6</f>
        <v>2221.482634282901</v>
      </c>
      <c r="E12" s="19">
        <f>C12+D12</f>
        <v>252221.4826342829</v>
      </c>
      <c r="F12" s="19">
        <f>IF(C12&gt;0,$C$4/$C$8,0)</f>
        <v>2083.3333333333335</v>
      </c>
      <c r="G12" s="20">
        <f>IF(C12&gt;0,F12+D12,0)</f>
        <v>4304.815967616234</v>
      </c>
      <c r="H12" s="20">
        <v>0</v>
      </c>
      <c r="I12" s="20">
        <f>IF(C12&gt;0,H12+G12,"")</f>
        <v>4304.815967616234</v>
      </c>
      <c r="J12" s="20">
        <f>IF(E12-I12&gt;0,ROUND(E12-I12,2),0)</f>
        <v>247916.67</v>
      </c>
      <c r="K12" s="18"/>
    </row>
    <row r="13" spans="1:11" x14ac:dyDescent="0.25">
      <c r="A13" s="25">
        <v>2</v>
      </c>
      <c r="B13" s="26">
        <v>44593</v>
      </c>
      <c r="C13" s="20">
        <f>IF(J12&gt;0,J12,0)</f>
        <v>247916.67</v>
      </c>
      <c r="D13" s="27">
        <f t="shared" ref="D13:D76" si="0">C13*$C$6</f>
        <v>2202.9703086169784</v>
      </c>
      <c r="E13" s="19">
        <f t="shared" ref="E13:E76" si="1">C13+D13</f>
        <v>250119.640308617</v>
      </c>
      <c r="F13" s="19">
        <f t="shared" ref="F13:F76" si="2">IF(C13&gt;0,$C$4/$C$8,0)</f>
        <v>2083.3333333333335</v>
      </c>
      <c r="G13" s="20">
        <f t="shared" ref="G13:G76" si="3">IF(C13&gt;0,F13+D13,0)</f>
        <v>4286.3036419503114</v>
      </c>
      <c r="H13" s="20">
        <v>12000</v>
      </c>
      <c r="I13" s="20">
        <f t="shared" ref="I13:I76" si="4">IF(C13&gt;0,H13+G13,0)</f>
        <v>16286.303641950311</v>
      </c>
      <c r="J13" s="20">
        <f t="shared" ref="J13:J76" si="5">IF(E13-I13&gt;0,ROUND(E13-I13,2),0)</f>
        <v>233833.34</v>
      </c>
      <c r="K13" s="18"/>
    </row>
    <row r="14" spans="1:11" x14ac:dyDescent="0.25">
      <c r="A14" s="25">
        <v>3</v>
      </c>
      <c r="B14" s="26">
        <v>44621</v>
      </c>
      <c r="C14" s="20">
        <f t="shared" ref="C14:C77" si="6">IF(J13&gt;0,J13,0)</f>
        <v>233833.34</v>
      </c>
      <c r="D14" s="27">
        <f t="shared" si="0"/>
        <v>2077.8268165054769</v>
      </c>
      <c r="E14" s="19">
        <f t="shared" si="1"/>
        <v>235911.16681650549</v>
      </c>
      <c r="F14" s="19">
        <f t="shared" si="2"/>
        <v>2083.3333333333335</v>
      </c>
      <c r="G14" s="20">
        <f t="shared" si="3"/>
        <v>4161.16014983881</v>
      </c>
      <c r="H14" s="20">
        <v>0</v>
      </c>
      <c r="I14" s="20">
        <f t="shared" si="4"/>
        <v>4161.16014983881</v>
      </c>
      <c r="J14" s="20">
        <f t="shared" si="5"/>
        <v>231750.01</v>
      </c>
      <c r="K14" s="18"/>
    </row>
    <row r="15" spans="1:11" x14ac:dyDescent="0.25">
      <c r="A15" s="25">
        <v>4</v>
      </c>
      <c r="B15" s="26">
        <v>44652</v>
      </c>
      <c r="C15" s="20">
        <f t="shared" si="6"/>
        <v>231750.01</v>
      </c>
      <c r="D15" s="27">
        <f t="shared" si="0"/>
        <v>2059.3144908395543</v>
      </c>
      <c r="E15" s="19">
        <f t="shared" si="1"/>
        <v>233809.32449083956</v>
      </c>
      <c r="F15" s="19">
        <f t="shared" si="2"/>
        <v>2083.3333333333335</v>
      </c>
      <c r="G15" s="20">
        <f t="shared" si="3"/>
        <v>4142.6478241728873</v>
      </c>
      <c r="H15" s="20">
        <v>0</v>
      </c>
      <c r="I15" s="20">
        <f t="shared" si="4"/>
        <v>4142.6478241728873</v>
      </c>
      <c r="J15" s="20">
        <f t="shared" si="5"/>
        <v>229666.68</v>
      </c>
      <c r="K15" s="18"/>
    </row>
    <row r="16" spans="1:11" x14ac:dyDescent="0.25">
      <c r="A16" s="25">
        <v>5</v>
      </c>
      <c r="B16" s="26">
        <v>44682</v>
      </c>
      <c r="C16" s="20">
        <f t="shared" si="6"/>
        <v>229666.68</v>
      </c>
      <c r="D16" s="27">
        <f t="shared" si="0"/>
        <v>2040.8021651736319</v>
      </c>
      <c r="E16" s="19">
        <f t="shared" si="1"/>
        <v>231707.48216517363</v>
      </c>
      <c r="F16" s="19">
        <f t="shared" si="2"/>
        <v>2083.3333333333335</v>
      </c>
      <c r="G16" s="20">
        <f t="shared" si="3"/>
        <v>4124.1354985069656</v>
      </c>
      <c r="H16" s="20">
        <v>0</v>
      </c>
      <c r="I16" s="20">
        <f t="shared" si="4"/>
        <v>4124.1354985069656</v>
      </c>
      <c r="J16" s="20">
        <f t="shared" si="5"/>
        <v>227583.35</v>
      </c>
      <c r="K16" s="18"/>
    </row>
    <row r="17" spans="1:11" x14ac:dyDescent="0.25">
      <c r="A17" s="25">
        <v>6</v>
      </c>
      <c r="B17" s="26">
        <v>44713</v>
      </c>
      <c r="C17" s="20">
        <f t="shared" si="6"/>
        <v>227583.35</v>
      </c>
      <c r="D17" s="27">
        <f t="shared" si="0"/>
        <v>2022.2898395077098</v>
      </c>
      <c r="E17" s="19">
        <f t="shared" si="1"/>
        <v>229605.63983950773</v>
      </c>
      <c r="F17" s="19">
        <f t="shared" si="2"/>
        <v>2083.3333333333335</v>
      </c>
      <c r="G17" s="20">
        <f t="shared" si="3"/>
        <v>4105.623172841043</v>
      </c>
      <c r="H17" s="20">
        <v>0</v>
      </c>
      <c r="I17" s="20">
        <f t="shared" si="4"/>
        <v>4105.623172841043</v>
      </c>
      <c r="J17" s="20">
        <f t="shared" si="5"/>
        <v>225500.02</v>
      </c>
      <c r="K17" s="18"/>
    </row>
    <row r="18" spans="1:11" x14ac:dyDescent="0.25">
      <c r="A18" s="25">
        <v>7</v>
      </c>
      <c r="B18" s="26">
        <v>44743</v>
      </c>
      <c r="C18" s="20">
        <f t="shared" si="6"/>
        <v>225500.02</v>
      </c>
      <c r="D18" s="27">
        <f t="shared" si="0"/>
        <v>2003.7775138417871</v>
      </c>
      <c r="E18" s="19">
        <f t="shared" si="1"/>
        <v>227503.79751384177</v>
      </c>
      <c r="F18" s="19">
        <f t="shared" si="2"/>
        <v>2083.3333333333335</v>
      </c>
      <c r="G18" s="20">
        <f t="shared" si="3"/>
        <v>4087.1108471751204</v>
      </c>
      <c r="H18" s="20">
        <v>0</v>
      </c>
      <c r="I18" s="20">
        <f t="shared" si="4"/>
        <v>4087.1108471751204</v>
      </c>
      <c r="J18" s="20">
        <f t="shared" si="5"/>
        <v>223416.69</v>
      </c>
      <c r="K18" s="18"/>
    </row>
    <row r="19" spans="1:11" x14ac:dyDescent="0.25">
      <c r="A19" s="25">
        <v>8</v>
      </c>
      <c r="B19" s="26">
        <v>44774</v>
      </c>
      <c r="C19" s="20">
        <f t="shared" si="6"/>
        <v>223416.69</v>
      </c>
      <c r="D19" s="27">
        <f t="shared" si="0"/>
        <v>1985.265188175865</v>
      </c>
      <c r="E19" s="19">
        <f t="shared" si="1"/>
        <v>225401.95518817587</v>
      </c>
      <c r="F19" s="19">
        <f t="shared" si="2"/>
        <v>2083.3333333333335</v>
      </c>
      <c r="G19" s="20">
        <f t="shared" si="3"/>
        <v>4068.5985215091987</v>
      </c>
      <c r="H19" s="20">
        <v>0</v>
      </c>
      <c r="I19" s="20">
        <f t="shared" si="4"/>
        <v>4068.5985215091987</v>
      </c>
      <c r="J19" s="20">
        <f t="shared" si="5"/>
        <v>221333.36</v>
      </c>
      <c r="K19" s="18"/>
    </row>
    <row r="20" spans="1:11" x14ac:dyDescent="0.25">
      <c r="A20" s="25">
        <v>9</v>
      </c>
      <c r="B20" s="26">
        <v>44805</v>
      </c>
      <c r="C20" s="20">
        <f t="shared" si="6"/>
        <v>221333.36</v>
      </c>
      <c r="D20" s="27">
        <f t="shared" si="0"/>
        <v>1966.7528625099424</v>
      </c>
      <c r="E20" s="19">
        <f t="shared" si="1"/>
        <v>223300.11286250994</v>
      </c>
      <c r="F20" s="19">
        <f t="shared" si="2"/>
        <v>2083.3333333333335</v>
      </c>
      <c r="G20" s="20">
        <f t="shared" si="3"/>
        <v>4050.0861958432761</v>
      </c>
      <c r="H20" s="20">
        <v>0</v>
      </c>
      <c r="I20" s="20">
        <f t="shared" si="4"/>
        <v>4050.0861958432761</v>
      </c>
      <c r="J20" s="20">
        <f t="shared" si="5"/>
        <v>219250.03</v>
      </c>
      <c r="K20" s="18"/>
    </row>
    <row r="21" spans="1:11" x14ac:dyDescent="0.25">
      <c r="A21" s="25">
        <v>10</v>
      </c>
      <c r="B21" s="26">
        <v>44835</v>
      </c>
      <c r="C21" s="20">
        <f t="shared" si="6"/>
        <v>219250.03</v>
      </c>
      <c r="D21" s="27">
        <f t="shared" si="0"/>
        <v>1948.2405368440202</v>
      </c>
      <c r="E21" s="19">
        <f t="shared" si="1"/>
        <v>221198.27053684401</v>
      </c>
      <c r="F21" s="19">
        <f t="shared" si="2"/>
        <v>2083.3333333333335</v>
      </c>
      <c r="G21" s="20">
        <f t="shared" si="3"/>
        <v>4031.5738701773535</v>
      </c>
      <c r="H21" s="20">
        <v>0</v>
      </c>
      <c r="I21" s="20">
        <f t="shared" si="4"/>
        <v>4031.5738701773535</v>
      </c>
      <c r="J21" s="20">
        <f t="shared" si="5"/>
        <v>217166.7</v>
      </c>
      <c r="K21" s="18"/>
    </row>
    <row r="22" spans="1:11" x14ac:dyDescent="0.25">
      <c r="A22" s="25">
        <v>11</v>
      </c>
      <c r="B22" s="26">
        <v>44866</v>
      </c>
      <c r="C22" s="20">
        <f t="shared" si="6"/>
        <v>217166.7</v>
      </c>
      <c r="D22" s="27">
        <f t="shared" si="0"/>
        <v>1929.7282111780978</v>
      </c>
      <c r="E22" s="19">
        <f t="shared" si="1"/>
        <v>219096.42821117811</v>
      </c>
      <c r="F22" s="19">
        <f t="shared" si="2"/>
        <v>2083.3333333333335</v>
      </c>
      <c r="G22" s="20">
        <f t="shared" si="3"/>
        <v>4013.0615445114313</v>
      </c>
      <c r="H22" s="20">
        <v>0</v>
      </c>
      <c r="I22" s="20">
        <f t="shared" si="4"/>
        <v>4013.0615445114313</v>
      </c>
      <c r="J22" s="20">
        <f t="shared" si="5"/>
        <v>215083.37</v>
      </c>
      <c r="K22" s="18"/>
    </row>
    <row r="23" spans="1:11" x14ac:dyDescent="0.25">
      <c r="A23" s="25">
        <v>12</v>
      </c>
      <c r="B23" s="26">
        <v>44896</v>
      </c>
      <c r="C23" s="20">
        <f t="shared" si="6"/>
        <v>215083.37</v>
      </c>
      <c r="D23" s="27">
        <f t="shared" si="0"/>
        <v>1911.2158855121754</v>
      </c>
      <c r="E23" s="19">
        <f t="shared" si="1"/>
        <v>216994.58588551218</v>
      </c>
      <c r="F23" s="19">
        <f t="shared" si="2"/>
        <v>2083.3333333333335</v>
      </c>
      <c r="G23" s="20">
        <f t="shared" si="3"/>
        <v>3994.5492188455091</v>
      </c>
      <c r="H23" s="20">
        <v>0</v>
      </c>
      <c r="I23" s="20">
        <f t="shared" si="4"/>
        <v>3994.5492188455091</v>
      </c>
      <c r="J23" s="20">
        <f t="shared" si="5"/>
        <v>213000.04</v>
      </c>
      <c r="K23" s="18"/>
    </row>
    <row r="24" spans="1:11" x14ac:dyDescent="0.25">
      <c r="A24" s="25">
        <v>13</v>
      </c>
      <c r="B24" s="26">
        <v>44927</v>
      </c>
      <c r="C24" s="20">
        <f t="shared" si="6"/>
        <v>213000.04</v>
      </c>
      <c r="D24" s="27">
        <f t="shared" si="0"/>
        <v>1892.703559846253</v>
      </c>
      <c r="E24" s="19">
        <f t="shared" si="1"/>
        <v>214892.74355984625</v>
      </c>
      <c r="F24" s="19">
        <f t="shared" si="2"/>
        <v>2083.3333333333335</v>
      </c>
      <c r="G24" s="20">
        <f t="shared" si="3"/>
        <v>3976.0368931795865</v>
      </c>
      <c r="H24" s="20">
        <v>0</v>
      </c>
      <c r="I24" s="20">
        <f t="shared" si="4"/>
        <v>3976.0368931795865</v>
      </c>
      <c r="J24" s="20">
        <f t="shared" si="5"/>
        <v>210916.71</v>
      </c>
      <c r="K24" s="18"/>
    </row>
    <row r="25" spans="1:11" x14ac:dyDescent="0.25">
      <c r="A25" s="25">
        <v>14</v>
      </c>
      <c r="B25" s="26">
        <v>44958</v>
      </c>
      <c r="C25" s="20">
        <f t="shared" si="6"/>
        <v>210916.71</v>
      </c>
      <c r="D25" s="27">
        <f t="shared" si="0"/>
        <v>1874.1912341803306</v>
      </c>
      <c r="E25" s="19">
        <f t="shared" si="1"/>
        <v>212790.90123418032</v>
      </c>
      <c r="F25" s="19">
        <f t="shared" si="2"/>
        <v>2083.3333333333335</v>
      </c>
      <c r="G25" s="20">
        <f t="shared" si="3"/>
        <v>3957.5245675136639</v>
      </c>
      <c r="H25" s="20">
        <v>0</v>
      </c>
      <c r="I25" s="20">
        <f t="shared" si="4"/>
        <v>3957.5245675136639</v>
      </c>
      <c r="J25" s="20">
        <f t="shared" si="5"/>
        <v>208833.38</v>
      </c>
      <c r="K25" s="18"/>
    </row>
    <row r="26" spans="1:11" x14ac:dyDescent="0.25">
      <c r="A26" s="25">
        <v>15</v>
      </c>
      <c r="B26" s="26">
        <v>44986</v>
      </c>
      <c r="C26" s="20">
        <f t="shared" si="6"/>
        <v>208833.38</v>
      </c>
      <c r="D26" s="27">
        <f t="shared" si="0"/>
        <v>1855.6789085144082</v>
      </c>
      <c r="E26" s="19">
        <f t="shared" si="1"/>
        <v>210689.05890851442</v>
      </c>
      <c r="F26" s="19">
        <f t="shared" si="2"/>
        <v>2083.3333333333335</v>
      </c>
      <c r="G26" s="20">
        <f t="shared" si="3"/>
        <v>3939.0122418477417</v>
      </c>
      <c r="H26" s="20">
        <v>0</v>
      </c>
      <c r="I26" s="20">
        <f t="shared" si="4"/>
        <v>3939.0122418477417</v>
      </c>
      <c r="J26" s="20">
        <f t="shared" si="5"/>
        <v>206750.05</v>
      </c>
      <c r="K26" s="18"/>
    </row>
    <row r="27" spans="1:11" x14ac:dyDescent="0.25">
      <c r="A27" s="25">
        <v>16</v>
      </c>
      <c r="B27" s="26">
        <v>45017</v>
      </c>
      <c r="C27" s="20">
        <f t="shared" si="6"/>
        <v>206750.05</v>
      </c>
      <c r="D27" s="27">
        <f t="shared" si="0"/>
        <v>1837.1665828484856</v>
      </c>
      <c r="E27" s="19">
        <f t="shared" si="1"/>
        <v>208587.21658284849</v>
      </c>
      <c r="F27" s="19">
        <f t="shared" si="2"/>
        <v>2083.3333333333335</v>
      </c>
      <c r="G27" s="20">
        <f t="shared" si="3"/>
        <v>3920.4999161818191</v>
      </c>
      <c r="H27" s="20">
        <v>0</v>
      </c>
      <c r="I27" s="20">
        <f t="shared" si="4"/>
        <v>3920.4999161818191</v>
      </c>
      <c r="J27" s="20">
        <f t="shared" si="5"/>
        <v>204666.72</v>
      </c>
      <c r="K27" s="18"/>
    </row>
    <row r="28" spans="1:11" x14ac:dyDescent="0.25">
      <c r="A28" s="25">
        <v>17</v>
      </c>
      <c r="B28" s="26">
        <v>45047</v>
      </c>
      <c r="C28" s="20">
        <f t="shared" si="6"/>
        <v>204666.72</v>
      </c>
      <c r="D28" s="27">
        <f t="shared" si="0"/>
        <v>1818.6542571825635</v>
      </c>
      <c r="E28" s="19">
        <f t="shared" si="1"/>
        <v>206485.37425718256</v>
      </c>
      <c r="F28" s="19">
        <f t="shared" si="2"/>
        <v>2083.3333333333335</v>
      </c>
      <c r="G28" s="20">
        <f t="shared" si="3"/>
        <v>3901.987590515897</v>
      </c>
      <c r="H28" s="20">
        <v>0</v>
      </c>
      <c r="I28" s="20">
        <f t="shared" si="4"/>
        <v>3901.987590515897</v>
      </c>
      <c r="J28" s="20">
        <f t="shared" si="5"/>
        <v>202583.39</v>
      </c>
      <c r="K28" s="18"/>
    </row>
    <row r="29" spans="1:11" x14ac:dyDescent="0.25">
      <c r="A29" s="25">
        <v>18</v>
      </c>
      <c r="B29" s="26">
        <v>45078</v>
      </c>
      <c r="C29" s="20">
        <f t="shared" si="6"/>
        <v>202583.39</v>
      </c>
      <c r="D29" s="27">
        <f t="shared" si="0"/>
        <v>1800.1419315166413</v>
      </c>
      <c r="E29" s="19">
        <f t="shared" si="1"/>
        <v>204383.53193151666</v>
      </c>
      <c r="F29" s="19">
        <f t="shared" si="2"/>
        <v>2083.3333333333335</v>
      </c>
      <c r="G29" s="20">
        <f t="shared" si="3"/>
        <v>3883.4752648499748</v>
      </c>
      <c r="H29" s="20">
        <v>0</v>
      </c>
      <c r="I29" s="20">
        <f t="shared" si="4"/>
        <v>3883.4752648499748</v>
      </c>
      <c r="J29" s="20">
        <f t="shared" si="5"/>
        <v>200500.06</v>
      </c>
      <c r="K29" s="18"/>
    </row>
    <row r="30" spans="1:11" x14ac:dyDescent="0.25">
      <c r="A30" s="25">
        <v>19</v>
      </c>
      <c r="B30" s="26">
        <v>45108</v>
      </c>
      <c r="C30" s="20">
        <f t="shared" si="6"/>
        <v>200500.06</v>
      </c>
      <c r="D30" s="27">
        <f t="shared" si="0"/>
        <v>1781.6296058507187</v>
      </c>
      <c r="E30" s="19">
        <f t="shared" si="1"/>
        <v>202281.68960585073</v>
      </c>
      <c r="F30" s="19">
        <f t="shared" si="2"/>
        <v>2083.3333333333335</v>
      </c>
      <c r="G30" s="20">
        <f t="shared" si="3"/>
        <v>3864.9629391840522</v>
      </c>
      <c r="H30" s="20">
        <v>0</v>
      </c>
      <c r="I30" s="20">
        <f t="shared" si="4"/>
        <v>3864.9629391840522</v>
      </c>
      <c r="J30" s="20">
        <f t="shared" si="5"/>
        <v>198416.73</v>
      </c>
      <c r="K30" s="18"/>
    </row>
    <row r="31" spans="1:11" x14ac:dyDescent="0.25">
      <c r="A31" s="25">
        <v>20</v>
      </c>
      <c r="B31" s="26">
        <v>45139</v>
      </c>
      <c r="C31" s="20">
        <f t="shared" si="6"/>
        <v>198416.73</v>
      </c>
      <c r="D31" s="27">
        <f t="shared" si="0"/>
        <v>1763.1172801847963</v>
      </c>
      <c r="E31" s="19">
        <f t="shared" si="1"/>
        <v>200179.8472801848</v>
      </c>
      <c r="F31" s="19">
        <f t="shared" si="2"/>
        <v>2083.3333333333335</v>
      </c>
      <c r="G31" s="20">
        <f t="shared" si="3"/>
        <v>3846.45061351813</v>
      </c>
      <c r="H31" s="20">
        <v>0</v>
      </c>
      <c r="I31" s="20">
        <f t="shared" si="4"/>
        <v>3846.45061351813</v>
      </c>
      <c r="J31" s="20">
        <f t="shared" si="5"/>
        <v>196333.4</v>
      </c>
      <c r="K31" s="18"/>
    </row>
    <row r="32" spans="1:11" x14ac:dyDescent="0.25">
      <c r="A32" s="25">
        <v>21</v>
      </c>
      <c r="B32" s="26">
        <v>45170</v>
      </c>
      <c r="C32" s="20">
        <f t="shared" si="6"/>
        <v>196333.4</v>
      </c>
      <c r="D32" s="27">
        <f t="shared" si="0"/>
        <v>1744.6049545188739</v>
      </c>
      <c r="E32" s="19">
        <f t="shared" si="1"/>
        <v>198078.00495451887</v>
      </c>
      <c r="F32" s="19">
        <f t="shared" si="2"/>
        <v>2083.3333333333335</v>
      </c>
      <c r="G32" s="20">
        <f t="shared" si="3"/>
        <v>3827.9382878522074</v>
      </c>
      <c r="H32" s="20">
        <v>0</v>
      </c>
      <c r="I32" s="20">
        <f t="shared" si="4"/>
        <v>3827.9382878522074</v>
      </c>
      <c r="J32" s="20">
        <f t="shared" si="5"/>
        <v>194250.07</v>
      </c>
      <c r="K32" s="18"/>
    </row>
    <row r="33" spans="1:11" x14ac:dyDescent="0.25">
      <c r="A33" s="25">
        <v>22</v>
      </c>
      <c r="B33" s="26">
        <v>45200</v>
      </c>
      <c r="C33" s="20">
        <f t="shared" si="6"/>
        <v>194250.07</v>
      </c>
      <c r="D33" s="27">
        <f t="shared" si="0"/>
        <v>1726.0926288529515</v>
      </c>
      <c r="E33" s="19">
        <f t="shared" si="1"/>
        <v>195976.16262885297</v>
      </c>
      <c r="F33" s="19">
        <f t="shared" si="2"/>
        <v>2083.3333333333335</v>
      </c>
      <c r="G33" s="20">
        <f t="shared" si="3"/>
        <v>3809.4259621862848</v>
      </c>
      <c r="H33" s="20">
        <v>0</v>
      </c>
      <c r="I33" s="20">
        <f t="shared" si="4"/>
        <v>3809.4259621862848</v>
      </c>
      <c r="J33" s="20">
        <f t="shared" si="5"/>
        <v>192166.74</v>
      </c>
      <c r="K33" s="18"/>
    </row>
    <row r="34" spans="1:11" x14ac:dyDescent="0.25">
      <c r="A34" s="25">
        <v>23</v>
      </c>
      <c r="B34" s="26">
        <v>45231</v>
      </c>
      <c r="C34" s="20">
        <f t="shared" si="6"/>
        <v>192166.74</v>
      </c>
      <c r="D34" s="27">
        <f t="shared" si="0"/>
        <v>1707.5803031870291</v>
      </c>
      <c r="E34" s="19">
        <f t="shared" si="1"/>
        <v>193874.32030318701</v>
      </c>
      <c r="F34" s="19">
        <f t="shared" si="2"/>
        <v>2083.3333333333335</v>
      </c>
      <c r="G34" s="20">
        <f t="shared" si="3"/>
        <v>3790.9136365203626</v>
      </c>
      <c r="H34" s="20">
        <v>0</v>
      </c>
      <c r="I34" s="20">
        <f t="shared" si="4"/>
        <v>3790.9136365203626</v>
      </c>
      <c r="J34" s="20">
        <f t="shared" si="5"/>
        <v>190083.41</v>
      </c>
      <c r="K34" s="18"/>
    </row>
    <row r="35" spans="1:11" x14ac:dyDescent="0.25">
      <c r="A35" s="25">
        <v>24</v>
      </c>
      <c r="B35" s="26">
        <v>45261</v>
      </c>
      <c r="C35" s="20">
        <f t="shared" si="6"/>
        <v>190083.41</v>
      </c>
      <c r="D35" s="27">
        <f t="shared" si="0"/>
        <v>1689.0679775211067</v>
      </c>
      <c r="E35" s="19">
        <f t="shared" si="1"/>
        <v>191772.47797752111</v>
      </c>
      <c r="F35" s="19">
        <f t="shared" si="2"/>
        <v>2083.3333333333335</v>
      </c>
      <c r="G35" s="20">
        <f t="shared" si="3"/>
        <v>3772.4013108544405</v>
      </c>
      <c r="H35" s="20">
        <v>0</v>
      </c>
      <c r="I35" s="20">
        <f t="shared" si="4"/>
        <v>3772.4013108544405</v>
      </c>
      <c r="J35" s="20">
        <f t="shared" si="5"/>
        <v>188000.08</v>
      </c>
      <c r="K35" s="18"/>
    </row>
    <row r="36" spans="1:11" x14ac:dyDescent="0.25">
      <c r="A36" s="25">
        <v>25</v>
      </c>
      <c r="B36" s="26">
        <v>45292</v>
      </c>
      <c r="C36" s="20">
        <f t="shared" si="6"/>
        <v>188000.08</v>
      </c>
      <c r="D36" s="27">
        <f t="shared" si="0"/>
        <v>1670.5556518551844</v>
      </c>
      <c r="E36" s="19">
        <f t="shared" si="1"/>
        <v>189670.63565185518</v>
      </c>
      <c r="F36" s="19">
        <f t="shared" si="2"/>
        <v>2083.3333333333335</v>
      </c>
      <c r="G36" s="20">
        <f t="shared" si="3"/>
        <v>3753.8889851885178</v>
      </c>
      <c r="H36" s="20">
        <v>0</v>
      </c>
      <c r="I36" s="20">
        <f t="shared" si="4"/>
        <v>3753.8889851885178</v>
      </c>
      <c r="J36" s="20">
        <f t="shared" si="5"/>
        <v>185916.75</v>
      </c>
      <c r="K36" s="18"/>
    </row>
    <row r="37" spans="1:11" x14ac:dyDescent="0.25">
      <c r="A37" s="25">
        <v>26</v>
      </c>
      <c r="B37" s="26">
        <v>45323</v>
      </c>
      <c r="C37" s="20">
        <f t="shared" si="6"/>
        <v>185916.75</v>
      </c>
      <c r="D37" s="27">
        <f t="shared" si="0"/>
        <v>1652.043326189262</v>
      </c>
      <c r="E37" s="19">
        <f t="shared" si="1"/>
        <v>187568.79332618928</v>
      </c>
      <c r="F37" s="19">
        <f t="shared" si="2"/>
        <v>2083.3333333333335</v>
      </c>
      <c r="G37" s="20">
        <f t="shared" si="3"/>
        <v>3735.3766595225952</v>
      </c>
      <c r="H37" s="20">
        <v>0</v>
      </c>
      <c r="I37" s="20">
        <f t="shared" si="4"/>
        <v>3735.3766595225952</v>
      </c>
      <c r="J37" s="20">
        <f t="shared" si="5"/>
        <v>183833.42</v>
      </c>
      <c r="K37" s="18"/>
    </row>
    <row r="38" spans="1:11" x14ac:dyDescent="0.25">
      <c r="A38" s="25">
        <v>27</v>
      </c>
      <c r="B38" s="26">
        <v>45352</v>
      </c>
      <c r="C38" s="20">
        <f t="shared" si="6"/>
        <v>183833.42</v>
      </c>
      <c r="D38" s="27">
        <f t="shared" si="0"/>
        <v>1633.5310005233398</v>
      </c>
      <c r="E38" s="19">
        <f t="shared" si="1"/>
        <v>185466.95100052335</v>
      </c>
      <c r="F38" s="19">
        <f t="shared" si="2"/>
        <v>2083.3333333333335</v>
      </c>
      <c r="G38" s="20">
        <f t="shared" si="3"/>
        <v>3716.8643338566735</v>
      </c>
      <c r="H38" s="20">
        <v>0</v>
      </c>
      <c r="I38" s="20">
        <f t="shared" si="4"/>
        <v>3716.8643338566735</v>
      </c>
      <c r="J38" s="20">
        <f t="shared" si="5"/>
        <v>181750.09</v>
      </c>
      <c r="K38" s="18"/>
    </row>
    <row r="39" spans="1:11" x14ac:dyDescent="0.25">
      <c r="A39" s="25">
        <v>28</v>
      </c>
      <c r="B39" s="26">
        <v>45383</v>
      </c>
      <c r="C39" s="20">
        <f t="shared" si="6"/>
        <v>181750.09</v>
      </c>
      <c r="D39" s="27">
        <f t="shared" si="0"/>
        <v>1615.0186748574172</v>
      </c>
      <c r="E39" s="19">
        <f t="shared" si="1"/>
        <v>183365.10867485742</v>
      </c>
      <c r="F39" s="19">
        <f t="shared" si="2"/>
        <v>2083.3333333333335</v>
      </c>
      <c r="G39" s="20">
        <f t="shared" si="3"/>
        <v>3698.3520081907509</v>
      </c>
      <c r="H39" s="20">
        <v>0</v>
      </c>
      <c r="I39" s="20">
        <f t="shared" si="4"/>
        <v>3698.3520081907509</v>
      </c>
      <c r="J39" s="20">
        <f t="shared" si="5"/>
        <v>179666.76</v>
      </c>
      <c r="K39" s="18"/>
    </row>
    <row r="40" spans="1:11" x14ac:dyDescent="0.25">
      <c r="A40" s="25">
        <v>29</v>
      </c>
      <c r="B40" s="26">
        <v>45413</v>
      </c>
      <c r="C40" s="20">
        <f t="shared" si="6"/>
        <v>179666.76</v>
      </c>
      <c r="D40" s="27">
        <f t="shared" si="0"/>
        <v>1596.506349191495</v>
      </c>
      <c r="E40" s="19">
        <f t="shared" si="1"/>
        <v>181263.26634919152</v>
      </c>
      <c r="F40" s="19">
        <f t="shared" si="2"/>
        <v>2083.3333333333335</v>
      </c>
      <c r="G40" s="20">
        <f t="shared" si="3"/>
        <v>3679.8396825248283</v>
      </c>
      <c r="H40" s="20">
        <v>0</v>
      </c>
      <c r="I40" s="20">
        <f t="shared" si="4"/>
        <v>3679.8396825248283</v>
      </c>
      <c r="J40" s="20">
        <f t="shared" si="5"/>
        <v>177583.43</v>
      </c>
      <c r="K40" s="18"/>
    </row>
    <row r="41" spans="1:11" x14ac:dyDescent="0.25">
      <c r="A41" s="25">
        <v>30</v>
      </c>
      <c r="B41" s="26">
        <v>45444</v>
      </c>
      <c r="C41" s="20">
        <f t="shared" si="6"/>
        <v>177583.43</v>
      </c>
      <c r="D41" s="27">
        <f t="shared" si="0"/>
        <v>1577.9940235255724</v>
      </c>
      <c r="E41" s="19">
        <f t="shared" si="1"/>
        <v>179161.42402352556</v>
      </c>
      <c r="F41" s="19">
        <f t="shared" si="2"/>
        <v>2083.3333333333335</v>
      </c>
      <c r="G41" s="20">
        <f t="shared" si="3"/>
        <v>3661.3273568589057</v>
      </c>
      <c r="H41" s="20">
        <v>0</v>
      </c>
      <c r="I41" s="20">
        <f t="shared" si="4"/>
        <v>3661.3273568589057</v>
      </c>
      <c r="J41" s="20">
        <f t="shared" si="5"/>
        <v>175500.1</v>
      </c>
      <c r="K41" s="18"/>
    </row>
    <row r="42" spans="1:11" x14ac:dyDescent="0.25">
      <c r="A42" s="25">
        <v>31</v>
      </c>
      <c r="B42" s="26">
        <v>45474</v>
      </c>
      <c r="C42" s="20">
        <f t="shared" si="6"/>
        <v>175500.1</v>
      </c>
      <c r="D42" s="27">
        <f t="shared" si="0"/>
        <v>1559.4816978596502</v>
      </c>
      <c r="E42" s="19">
        <f t="shared" si="1"/>
        <v>177059.58169785966</v>
      </c>
      <c r="F42" s="19">
        <f t="shared" si="2"/>
        <v>2083.3333333333335</v>
      </c>
      <c r="G42" s="20">
        <f t="shared" si="3"/>
        <v>3642.815031192984</v>
      </c>
      <c r="H42" s="20">
        <v>0</v>
      </c>
      <c r="I42" s="20">
        <f t="shared" si="4"/>
        <v>3642.815031192984</v>
      </c>
      <c r="J42" s="20">
        <f t="shared" si="5"/>
        <v>173416.77</v>
      </c>
      <c r="K42" s="18"/>
    </row>
    <row r="43" spans="1:11" x14ac:dyDescent="0.25">
      <c r="A43" s="25">
        <v>32</v>
      </c>
      <c r="B43" s="26">
        <v>45505</v>
      </c>
      <c r="C43" s="20">
        <f t="shared" si="6"/>
        <v>173416.77</v>
      </c>
      <c r="D43" s="27">
        <f t="shared" si="0"/>
        <v>1540.9693721937276</v>
      </c>
      <c r="E43" s="19">
        <f t="shared" si="1"/>
        <v>174957.73937219373</v>
      </c>
      <c r="F43" s="19">
        <f t="shared" si="2"/>
        <v>2083.3333333333335</v>
      </c>
      <c r="G43" s="20">
        <f t="shared" si="3"/>
        <v>3624.3027055270613</v>
      </c>
      <c r="H43" s="20">
        <v>0</v>
      </c>
      <c r="I43" s="20">
        <f t="shared" si="4"/>
        <v>3624.3027055270613</v>
      </c>
      <c r="J43" s="20">
        <f t="shared" si="5"/>
        <v>171333.44</v>
      </c>
      <c r="K43" s="18"/>
    </row>
    <row r="44" spans="1:11" x14ac:dyDescent="0.25">
      <c r="A44" s="25">
        <v>33</v>
      </c>
      <c r="B44" s="26">
        <v>45536</v>
      </c>
      <c r="C44" s="20">
        <f t="shared" si="6"/>
        <v>171333.44</v>
      </c>
      <c r="D44" s="27">
        <f t="shared" si="0"/>
        <v>1522.4570465278055</v>
      </c>
      <c r="E44" s="19">
        <f t="shared" si="1"/>
        <v>172855.8970465278</v>
      </c>
      <c r="F44" s="19">
        <f t="shared" si="2"/>
        <v>2083.3333333333335</v>
      </c>
      <c r="G44" s="20">
        <f t="shared" si="3"/>
        <v>3605.7903798611387</v>
      </c>
      <c r="H44" s="20">
        <v>0</v>
      </c>
      <c r="I44" s="20">
        <f t="shared" si="4"/>
        <v>3605.7903798611387</v>
      </c>
      <c r="J44" s="20">
        <f t="shared" si="5"/>
        <v>169250.11</v>
      </c>
      <c r="K44" s="18"/>
    </row>
    <row r="45" spans="1:11" x14ac:dyDescent="0.25">
      <c r="A45" s="25">
        <v>34</v>
      </c>
      <c r="B45" s="26">
        <v>45566</v>
      </c>
      <c r="C45" s="20">
        <f t="shared" si="6"/>
        <v>169250.11</v>
      </c>
      <c r="D45" s="27">
        <f t="shared" si="0"/>
        <v>1503.9447208618828</v>
      </c>
      <c r="E45" s="19">
        <f t="shared" si="1"/>
        <v>170754.05472086187</v>
      </c>
      <c r="F45" s="19">
        <f t="shared" si="2"/>
        <v>2083.3333333333335</v>
      </c>
      <c r="G45" s="20">
        <f t="shared" si="3"/>
        <v>3587.2780541952161</v>
      </c>
      <c r="H45" s="20">
        <v>0</v>
      </c>
      <c r="I45" s="20">
        <f t="shared" si="4"/>
        <v>3587.2780541952161</v>
      </c>
      <c r="J45" s="20">
        <f t="shared" si="5"/>
        <v>167166.78</v>
      </c>
      <c r="K45" s="18"/>
    </row>
    <row r="46" spans="1:11" x14ac:dyDescent="0.25">
      <c r="A46" s="25">
        <v>35</v>
      </c>
      <c r="B46" s="26">
        <v>45597</v>
      </c>
      <c r="C46" s="20">
        <f t="shared" si="6"/>
        <v>167166.78</v>
      </c>
      <c r="D46" s="27">
        <f t="shared" si="0"/>
        <v>1485.4323951959605</v>
      </c>
      <c r="E46" s="19">
        <f t="shared" si="1"/>
        <v>168652.21239519597</v>
      </c>
      <c r="F46" s="19">
        <f t="shared" si="2"/>
        <v>2083.3333333333335</v>
      </c>
      <c r="G46" s="20">
        <f t="shared" si="3"/>
        <v>3568.7657285292939</v>
      </c>
      <c r="H46" s="20">
        <v>0</v>
      </c>
      <c r="I46" s="20">
        <f t="shared" si="4"/>
        <v>3568.7657285292939</v>
      </c>
      <c r="J46" s="20">
        <f t="shared" si="5"/>
        <v>165083.45000000001</v>
      </c>
      <c r="K46" s="18"/>
    </row>
    <row r="47" spans="1:11" x14ac:dyDescent="0.25">
      <c r="A47" s="25">
        <v>36</v>
      </c>
      <c r="B47" s="26">
        <v>45627</v>
      </c>
      <c r="C47" s="20">
        <f t="shared" si="6"/>
        <v>165083.45000000001</v>
      </c>
      <c r="D47" s="27">
        <f t="shared" si="0"/>
        <v>1466.9200695300383</v>
      </c>
      <c r="E47" s="19">
        <f t="shared" si="1"/>
        <v>166550.37006953004</v>
      </c>
      <c r="F47" s="19">
        <f t="shared" si="2"/>
        <v>2083.3333333333335</v>
      </c>
      <c r="G47" s="20">
        <f t="shared" si="3"/>
        <v>3550.2534028633718</v>
      </c>
      <c r="H47" s="20">
        <v>0</v>
      </c>
      <c r="I47" s="20">
        <f t="shared" si="4"/>
        <v>3550.2534028633718</v>
      </c>
      <c r="J47" s="20">
        <f t="shared" si="5"/>
        <v>163000.12</v>
      </c>
      <c r="K47" s="18"/>
    </row>
    <row r="48" spans="1:11" x14ac:dyDescent="0.25">
      <c r="A48" s="25">
        <v>37</v>
      </c>
      <c r="B48" s="26">
        <v>45658</v>
      </c>
      <c r="C48" s="20">
        <f t="shared" si="6"/>
        <v>163000.12</v>
      </c>
      <c r="D48" s="27">
        <f t="shared" si="0"/>
        <v>1448.4077438641157</v>
      </c>
      <c r="E48" s="19">
        <f t="shared" si="1"/>
        <v>164448.52774386411</v>
      </c>
      <c r="F48" s="19">
        <f t="shared" si="2"/>
        <v>2083.3333333333335</v>
      </c>
      <c r="G48" s="20">
        <f t="shared" si="3"/>
        <v>3531.7410771974492</v>
      </c>
      <c r="H48" s="20">
        <v>0</v>
      </c>
      <c r="I48" s="20">
        <f t="shared" si="4"/>
        <v>3531.7410771974492</v>
      </c>
      <c r="J48" s="20">
        <f t="shared" si="5"/>
        <v>160916.79</v>
      </c>
      <c r="K48" s="18"/>
    </row>
    <row r="49" spans="1:11" x14ac:dyDescent="0.25">
      <c r="A49" s="25">
        <v>38</v>
      </c>
      <c r="B49" s="26">
        <v>45689</v>
      </c>
      <c r="C49" s="20">
        <f t="shared" si="6"/>
        <v>160916.79</v>
      </c>
      <c r="D49" s="27">
        <f t="shared" si="0"/>
        <v>1429.8954181981935</v>
      </c>
      <c r="E49" s="19">
        <f t="shared" si="1"/>
        <v>162346.68541819821</v>
      </c>
      <c r="F49" s="19">
        <f t="shared" si="2"/>
        <v>2083.3333333333335</v>
      </c>
      <c r="G49" s="20">
        <f t="shared" si="3"/>
        <v>3513.228751531527</v>
      </c>
      <c r="H49" s="20">
        <v>0</v>
      </c>
      <c r="I49" s="20">
        <f t="shared" si="4"/>
        <v>3513.228751531527</v>
      </c>
      <c r="J49" s="20">
        <f t="shared" si="5"/>
        <v>158833.46</v>
      </c>
      <c r="K49" s="18"/>
    </row>
    <row r="50" spans="1:11" x14ac:dyDescent="0.25">
      <c r="A50" s="25">
        <v>39</v>
      </c>
      <c r="B50" s="26">
        <v>45717</v>
      </c>
      <c r="C50" s="20">
        <f t="shared" si="6"/>
        <v>158833.46</v>
      </c>
      <c r="D50" s="27">
        <f t="shared" si="0"/>
        <v>1411.3830925322709</v>
      </c>
      <c r="E50" s="19">
        <f t="shared" si="1"/>
        <v>160244.84309253228</v>
      </c>
      <c r="F50" s="19">
        <f t="shared" si="2"/>
        <v>2083.3333333333335</v>
      </c>
      <c r="G50" s="20">
        <f t="shared" si="3"/>
        <v>3494.7164258656044</v>
      </c>
      <c r="H50" s="20">
        <v>0</v>
      </c>
      <c r="I50" s="20">
        <f t="shared" si="4"/>
        <v>3494.7164258656044</v>
      </c>
      <c r="J50" s="20">
        <f t="shared" si="5"/>
        <v>156750.13</v>
      </c>
      <c r="K50" s="18"/>
    </row>
    <row r="51" spans="1:11" x14ac:dyDescent="0.25">
      <c r="A51" s="25">
        <v>40</v>
      </c>
      <c r="B51" s="26">
        <v>45748</v>
      </c>
      <c r="C51" s="20">
        <f t="shared" si="6"/>
        <v>156750.13</v>
      </c>
      <c r="D51" s="27">
        <f t="shared" si="0"/>
        <v>1392.8707668663487</v>
      </c>
      <c r="E51" s="19">
        <f t="shared" si="1"/>
        <v>158143.00076686635</v>
      </c>
      <c r="F51" s="19">
        <f t="shared" si="2"/>
        <v>2083.3333333333335</v>
      </c>
      <c r="G51" s="20">
        <f t="shared" si="3"/>
        <v>3476.2041001996822</v>
      </c>
      <c r="H51" s="20">
        <v>0</v>
      </c>
      <c r="I51" s="20">
        <f t="shared" si="4"/>
        <v>3476.2041001996822</v>
      </c>
      <c r="J51" s="20">
        <f t="shared" si="5"/>
        <v>154666.79999999999</v>
      </c>
      <c r="K51" s="18"/>
    </row>
    <row r="52" spans="1:11" x14ac:dyDescent="0.25">
      <c r="A52" s="25">
        <v>41</v>
      </c>
      <c r="B52" s="26">
        <v>45778</v>
      </c>
      <c r="C52" s="20">
        <f t="shared" si="6"/>
        <v>154666.79999999999</v>
      </c>
      <c r="D52" s="27">
        <f t="shared" si="0"/>
        <v>1374.3584412004261</v>
      </c>
      <c r="E52" s="19">
        <f t="shared" si="1"/>
        <v>156041.15844120042</v>
      </c>
      <c r="F52" s="19">
        <f t="shared" si="2"/>
        <v>2083.3333333333335</v>
      </c>
      <c r="G52" s="20">
        <f t="shared" si="3"/>
        <v>3457.6917745337596</v>
      </c>
      <c r="H52" s="20">
        <v>0</v>
      </c>
      <c r="I52" s="20">
        <f t="shared" si="4"/>
        <v>3457.6917745337596</v>
      </c>
      <c r="J52" s="20">
        <f t="shared" si="5"/>
        <v>152583.47</v>
      </c>
      <c r="K52" s="18"/>
    </row>
    <row r="53" spans="1:11" x14ac:dyDescent="0.25">
      <c r="A53" s="25">
        <v>42</v>
      </c>
      <c r="B53" s="26">
        <v>45809</v>
      </c>
      <c r="C53" s="20">
        <f t="shared" si="6"/>
        <v>152583.47</v>
      </c>
      <c r="D53" s="27">
        <f t="shared" si="0"/>
        <v>1355.846115534504</v>
      </c>
      <c r="E53" s="19">
        <f t="shared" si="1"/>
        <v>153939.31611553452</v>
      </c>
      <c r="F53" s="19">
        <f t="shared" si="2"/>
        <v>2083.3333333333335</v>
      </c>
      <c r="G53" s="20">
        <f t="shared" si="3"/>
        <v>3439.1794488678374</v>
      </c>
      <c r="H53" s="20">
        <v>0</v>
      </c>
      <c r="I53" s="20">
        <f t="shared" si="4"/>
        <v>3439.1794488678374</v>
      </c>
      <c r="J53" s="20">
        <f t="shared" si="5"/>
        <v>150500.14000000001</v>
      </c>
      <c r="K53" s="18"/>
    </row>
    <row r="54" spans="1:11" x14ac:dyDescent="0.25">
      <c r="A54" s="25">
        <v>43</v>
      </c>
      <c r="B54" s="26">
        <v>45839</v>
      </c>
      <c r="C54" s="20">
        <f t="shared" si="6"/>
        <v>150500.14000000001</v>
      </c>
      <c r="D54" s="27">
        <f t="shared" si="0"/>
        <v>1337.3337898685816</v>
      </c>
      <c r="E54" s="19">
        <f t="shared" si="1"/>
        <v>151837.47378986859</v>
      </c>
      <c r="F54" s="19">
        <f t="shared" si="2"/>
        <v>2083.3333333333335</v>
      </c>
      <c r="G54" s="20">
        <f t="shared" si="3"/>
        <v>3420.6671232019153</v>
      </c>
      <c r="H54" s="20">
        <v>0</v>
      </c>
      <c r="I54" s="20">
        <f t="shared" si="4"/>
        <v>3420.6671232019153</v>
      </c>
      <c r="J54" s="20">
        <f t="shared" si="5"/>
        <v>148416.81</v>
      </c>
      <c r="K54" s="18"/>
    </row>
    <row r="55" spans="1:11" x14ac:dyDescent="0.25">
      <c r="A55" s="25">
        <v>44</v>
      </c>
      <c r="B55" s="26">
        <v>45870</v>
      </c>
      <c r="C55" s="20">
        <f t="shared" si="6"/>
        <v>148416.81</v>
      </c>
      <c r="D55" s="27">
        <f t="shared" si="0"/>
        <v>1318.8214642026592</v>
      </c>
      <c r="E55" s="19">
        <f t="shared" si="1"/>
        <v>149735.63146420266</v>
      </c>
      <c r="F55" s="19">
        <f t="shared" si="2"/>
        <v>2083.3333333333335</v>
      </c>
      <c r="G55" s="20">
        <f t="shared" si="3"/>
        <v>3402.1547975359927</v>
      </c>
      <c r="H55" s="20">
        <v>0</v>
      </c>
      <c r="I55" s="20">
        <f t="shared" si="4"/>
        <v>3402.1547975359927</v>
      </c>
      <c r="J55" s="20">
        <f t="shared" si="5"/>
        <v>146333.48000000001</v>
      </c>
      <c r="K55" s="18"/>
    </row>
    <row r="56" spans="1:11" x14ac:dyDescent="0.25">
      <c r="A56" s="25">
        <v>45</v>
      </c>
      <c r="B56" s="26">
        <v>45901</v>
      </c>
      <c r="C56" s="20">
        <f t="shared" si="6"/>
        <v>146333.48000000001</v>
      </c>
      <c r="D56" s="27">
        <f t="shared" si="0"/>
        <v>1300.3091385367368</v>
      </c>
      <c r="E56" s="19">
        <f t="shared" si="1"/>
        <v>147633.78913853675</v>
      </c>
      <c r="F56" s="19">
        <f t="shared" si="2"/>
        <v>2083.3333333333335</v>
      </c>
      <c r="G56" s="20">
        <f t="shared" si="3"/>
        <v>3383.64247187007</v>
      </c>
      <c r="H56" s="20">
        <v>0</v>
      </c>
      <c r="I56" s="20">
        <f t="shared" si="4"/>
        <v>3383.64247187007</v>
      </c>
      <c r="J56" s="20">
        <f t="shared" si="5"/>
        <v>144250.15</v>
      </c>
      <c r="K56" s="18"/>
    </row>
    <row r="57" spans="1:11" x14ac:dyDescent="0.25">
      <c r="A57" s="25">
        <v>46</v>
      </c>
      <c r="B57" s="26">
        <v>45931</v>
      </c>
      <c r="C57" s="20">
        <f t="shared" si="6"/>
        <v>144250.15</v>
      </c>
      <c r="D57" s="27">
        <f t="shared" si="0"/>
        <v>1281.7968128708144</v>
      </c>
      <c r="E57" s="19">
        <f t="shared" si="1"/>
        <v>145531.9468128708</v>
      </c>
      <c r="F57" s="19">
        <f t="shared" si="2"/>
        <v>2083.3333333333335</v>
      </c>
      <c r="G57" s="20">
        <f t="shared" si="3"/>
        <v>3365.1301462041479</v>
      </c>
      <c r="H57" s="20">
        <v>0</v>
      </c>
      <c r="I57" s="20">
        <f t="shared" si="4"/>
        <v>3365.1301462041479</v>
      </c>
      <c r="J57" s="20">
        <f t="shared" si="5"/>
        <v>142166.82</v>
      </c>
      <c r="K57" s="18"/>
    </row>
    <row r="58" spans="1:11" x14ac:dyDescent="0.25">
      <c r="A58" s="25">
        <v>47</v>
      </c>
      <c r="B58" s="26">
        <v>45962</v>
      </c>
      <c r="C58" s="20">
        <f t="shared" si="6"/>
        <v>142166.82</v>
      </c>
      <c r="D58" s="27">
        <f t="shared" si="0"/>
        <v>1263.284487204892</v>
      </c>
      <c r="E58" s="19">
        <f t="shared" si="1"/>
        <v>143430.1044872049</v>
      </c>
      <c r="F58" s="19">
        <f t="shared" si="2"/>
        <v>2083.3333333333335</v>
      </c>
      <c r="G58" s="20">
        <f t="shared" si="3"/>
        <v>3346.6178205382257</v>
      </c>
      <c r="H58" s="20">
        <v>0</v>
      </c>
      <c r="I58" s="20">
        <f t="shared" si="4"/>
        <v>3346.6178205382257</v>
      </c>
      <c r="J58" s="20">
        <f t="shared" si="5"/>
        <v>140083.49</v>
      </c>
      <c r="K58" s="18"/>
    </row>
    <row r="59" spans="1:11" x14ac:dyDescent="0.25">
      <c r="A59" s="25">
        <v>48</v>
      </c>
      <c r="B59" s="26">
        <v>45992</v>
      </c>
      <c r="C59" s="20">
        <f t="shared" si="6"/>
        <v>140083.49</v>
      </c>
      <c r="D59" s="27">
        <f t="shared" si="0"/>
        <v>1244.7721615389694</v>
      </c>
      <c r="E59" s="19">
        <f t="shared" si="1"/>
        <v>141328.26216153897</v>
      </c>
      <c r="F59" s="19">
        <f t="shared" si="2"/>
        <v>2083.3333333333335</v>
      </c>
      <c r="G59" s="20">
        <f t="shared" si="3"/>
        <v>3328.1054948723031</v>
      </c>
      <c r="H59" s="20">
        <v>0</v>
      </c>
      <c r="I59" s="20">
        <f t="shared" si="4"/>
        <v>3328.1054948723031</v>
      </c>
      <c r="J59" s="20">
        <f t="shared" si="5"/>
        <v>138000.16</v>
      </c>
      <c r="K59" s="18"/>
    </row>
    <row r="60" spans="1:11" x14ac:dyDescent="0.25">
      <c r="A60" s="25">
        <v>49</v>
      </c>
      <c r="B60" s="26">
        <v>46023</v>
      </c>
      <c r="C60" s="20">
        <f t="shared" si="6"/>
        <v>138000.16</v>
      </c>
      <c r="D60" s="27">
        <f t="shared" si="0"/>
        <v>1226.2598358730472</v>
      </c>
      <c r="E60" s="19">
        <f t="shared" si="1"/>
        <v>139226.41983587306</v>
      </c>
      <c r="F60" s="19">
        <f t="shared" si="2"/>
        <v>2083.3333333333335</v>
      </c>
      <c r="G60" s="20">
        <f t="shared" si="3"/>
        <v>3309.5931692063805</v>
      </c>
      <c r="H60" s="20">
        <v>0</v>
      </c>
      <c r="I60" s="20">
        <f t="shared" si="4"/>
        <v>3309.5931692063805</v>
      </c>
      <c r="J60" s="20">
        <f t="shared" si="5"/>
        <v>135916.82999999999</v>
      </c>
      <c r="K60" s="18"/>
    </row>
    <row r="61" spans="1:11" x14ac:dyDescent="0.25">
      <c r="A61" s="25">
        <v>50</v>
      </c>
      <c r="B61" s="26">
        <v>46054</v>
      </c>
      <c r="C61" s="20">
        <f t="shared" si="6"/>
        <v>135916.82999999999</v>
      </c>
      <c r="D61" s="27">
        <f t="shared" si="0"/>
        <v>1207.7475102071246</v>
      </c>
      <c r="E61" s="19">
        <f t="shared" si="1"/>
        <v>137124.57751020711</v>
      </c>
      <c r="F61" s="19">
        <f t="shared" si="2"/>
        <v>2083.3333333333335</v>
      </c>
      <c r="G61" s="20">
        <f t="shared" si="3"/>
        <v>3291.0808435404579</v>
      </c>
      <c r="H61" s="20">
        <v>0</v>
      </c>
      <c r="I61" s="20">
        <f t="shared" si="4"/>
        <v>3291.0808435404579</v>
      </c>
      <c r="J61" s="20">
        <f t="shared" si="5"/>
        <v>133833.5</v>
      </c>
      <c r="K61" s="18"/>
    </row>
    <row r="62" spans="1:11" x14ac:dyDescent="0.25">
      <c r="A62" s="25">
        <v>51</v>
      </c>
      <c r="B62" s="26">
        <v>46082</v>
      </c>
      <c r="C62" s="20">
        <f t="shared" si="6"/>
        <v>133833.5</v>
      </c>
      <c r="D62" s="27">
        <f t="shared" si="0"/>
        <v>1189.2351845412024</v>
      </c>
      <c r="E62" s="19">
        <f t="shared" si="1"/>
        <v>135022.7351845412</v>
      </c>
      <c r="F62" s="19">
        <f t="shared" si="2"/>
        <v>2083.3333333333335</v>
      </c>
      <c r="G62" s="20">
        <f t="shared" si="3"/>
        <v>3272.5685178745362</v>
      </c>
      <c r="H62" s="20">
        <v>0</v>
      </c>
      <c r="I62" s="20">
        <f t="shared" si="4"/>
        <v>3272.5685178745362</v>
      </c>
      <c r="J62" s="20">
        <f t="shared" si="5"/>
        <v>131750.17000000001</v>
      </c>
      <c r="K62" s="18"/>
    </row>
    <row r="63" spans="1:11" x14ac:dyDescent="0.25">
      <c r="A63" s="25">
        <v>52</v>
      </c>
      <c r="B63" s="26">
        <v>46113</v>
      </c>
      <c r="C63" s="20">
        <f t="shared" si="6"/>
        <v>131750.17000000001</v>
      </c>
      <c r="D63" s="27">
        <f t="shared" si="0"/>
        <v>1170.7228588752801</v>
      </c>
      <c r="E63" s="19">
        <f t="shared" si="1"/>
        <v>132920.8928588753</v>
      </c>
      <c r="F63" s="19">
        <f t="shared" si="2"/>
        <v>2083.3333333333335</v>
      </c>
      <c r="G63" s="20">
        <f t="shared" si="3"/>
        <v>3254.0561922086135</v>
      </c>
      <c r="H63" s="20">
        <v>0</v>
      </c>
      <c r="I63" s="20">
        <f t="shared" si="4"/>
        <v>3254.0561922086135</v>
      </c>
      <c r="J63" s="20">
        <f t="shared" si="5"/>
        <v>129666.84</v>
      </c>
      <c r="K63" s="18"/>
    </row>
    <row r="64" spans="1:11" x14ac:dyDescent="0.25">
      <c r="A64" s="25">
        <v>53</v>
      </c>
      <c r="B64" s="26">
        <v>46143</v>
      </c>
      <c r="C64" s="20">
        <f t="shared" si="6"/>
        <v>129666.84</v>
      </c>
      <c r="D64" s="27">
        <f t="shared" si="0"/>
        <v>1152.2105332093577</v>
      </c>
      <c r="E64" s="19">
        <f t="shared" si="1"/>
        <v>130819.05053320936</v>
      </c>
      <c r="F64" s="19">
        <f t="shared" si="2"/>
        <v>2083.3333333333335</v>
      </c>
      <c r="G64" s="20">
        <f t="shared" si="3"/>
        <v>3235.5438665426909</v>
      </c>
      <c r="H64" s="20">
        <v>0</v>
      </c>
      <c r="I64" s="20">
        <f t="shared" si="4"/>
        <v>3235.5438665426909</v>
      </c>
      <c r="J64" s="20">
        <f t="shared" si="5"/>
        <v>127583.51</v>
      </c>
      <c r="K64" s="18"/>
    </row>
    <row r="65" spans="1:11" x14ac:dyDescent="0.25">
      <c r="A65" s="25">
        <v>54</v>
      </c>
      <c r="B65" s="26">
        <v>46174</v>
      </c>
      <c r="C65" s="20">
        <f t="shared" si="6"/>
        <v>127583.51</v>
      </c>
      <c r="D65" s="27">
        <f t="shared" si="0"/>
        <v>1133.6982075434353</v>
      </c>
      <c r="E65" s="19">
        <f t="shared" si="1"/>
        <v>128717.20820754343</v>
      </c>
      <c r="F65" s="19">
        <f t="shared" si="2"/>
        <v>2083.3333333333335</v>
      </c>
      <c r="G65" s="20">
        <f t="shared" si="3"/>
        <v>3217.0315408767688</v>
      </c>
      <c r="H65" s="20">
        <v>0</v>
      </c>
      <c r="I65" s="20">
        <f t="shared" si="4"/>
        <v>3217.0315408767688</v>
      </c>
      <c r="J65" s="20">
        <f t="shared" si="5"/>
        <v>125500.18</v>
      </c>
      <c r="K65" s="18"/>
    </row>
    <row r="66" spans="1:11" x14ac:dyDescent="0.25">
      <c r="A66" s="25">
        <v>55</v>
      </c>
      <c r="B66" s="26">
        <v>46204</v>
      </c>
      <c r="C66" s="20">
        <f t="shared" si="6"/>
        <v>125500.18</v>
      </c>
      <c r="D66" s="27">
        <f t="shared" si="0"/>
        <v>1115.1858818775129</v>
      </c>
      <c r="E66" s="19">
        <f t="shared" si="1"/>
        <v>126615.3658818775</v>
      </c>
      <c r="F66" s="19">
        <f t="shared" si="2"/>
        <v>2083.3333333333335</v>
      </c>
      <c r="G66" s="20">
        <f t="shared" si="3"/>
        <v>3198.5192152108466</v>
      </c>
      <c r="H66" s="20">
        <v>0</v>
      </c>
      <c r="I66" s="20">
        <f t="shared" si="4"/>
        <v>3198.5192152108466</v>
      </c>
      <c r="J66" s="20">
        <f t="shared" si="5"/>
        <v>123416.85</v>
      </c>
      <c r="K66" s="18"/>
    </row>
    <row r="67" spans="1:11" x14ac:dyDescent="0.25">
      <c r="A67" s="25">
        <v>56</v>
      </c>
      <c r="B67" s="26">
        <v>46235</v>
      </c>
      <c r="C67" s="20">
        <f t="shared" si="6"/>
        <v>123416.85</v>
      </c>
      <c r="D67" s="27">
        <f t="shared" si="0"/>
        <v>1096.6735562115905</v>
      </c>
      <c r="E67" s="19">
        <f t="shared" si="1"/>
        <v>124513.5235562116</v>
      </c>
      <c r="F67" s="19">
        <f t="shared" si="2"/>
        <v>2083.3333333333335</v>
      </c>
      <c r="G67" s="20">
        <f t="shared" si="3"/>
        <v>3180.006889544924</v>
      </c>
      <c r="H67" s="20">
        <v>0</v>
      </c>
      <c r="I67" s="20">
        <f t="shared" si="4"/>
        <v>3180.006889544924</v>
      </c>
      <c r="J67" s="20">
        <f t="shared" si="5"/>
        <v>121333.52</v>
      </c>
      <c r="K67" s="18"/>
    </row>
    <row r="68" spans="1:11" x14ac:dyDescent="0.25">
      <c r="A68" s="25">
        <v>57</v>
      </c>
      <c r="B68" s="26">
        <v>46266</v>
      </c>
      <c r="C68" s="20">
        <f t="shared" si="6"/>
        <v>121333.52</v>
      </c>
      <c r="D68" s="27">
        <f t="shared" si="0"/>
        <v>1078.1612305456681</v>
      </c>
      <c r="E68" s="19">
        <f t="shared" si="1"/>
        <v>122411.68123054567</v>
      </c>
      <c r="F68" s="19">
        <f t="shared" si="2"/>
        <v>2083.3333333333335</v>
      </c>
      <c r="G68" s="20">
        <f t="shared" si="3"/>
        <v>3161.4945638790014</v>
      </c>
      <c r="H68" s="20">
        <v>0</v>
      </c>
      <c r="I68" s="20">
        <f t="shared" si="4"/>
        <v>3161.4945638790014</v>
      </c>
      <c r="J68" s="20">
        <f t="shared" si="5"/>
        <v>119250.19</v>
      </c>
      <c r="K68" s="18"/>
    </row>
    <row r="69" spans="1:11" x14ac:dyDescent="0.25">
      <c r="A69" s="25">
        <v>58</v>
      </c>
      <c r="B69" s="26">
        <v>46296</v>
      </c>
      <c r="C69" s="20">
        <f t="shared" si="6"/>
        <v>119250.19</v>
      </c>
      <c r="D69" s="27">
        <f t="shared" si="0"/>
        <v>1059.6489048797457</v>
      </c>
      <c r="E69" s="19">
        <f t="shared" si="1"/>
        <v>120309.83890487975</v>
      </c>
      <c r="F69" s="19">
        <f t="shared" si="2"/>
        <v>2083.3333333333335</v>
      </c>
      <c r="G69" s="20">
        <f t="shared" si="3"/>
        <v>3142.9822382130792</v>
      </c>
      <c r="H69" s="20">
        <v>0</v>
      </c>
      <c r="I69" s="20">
        <f t="shared" si="4"/>
        <v>3142.9822382130792</v>
      </c>
      <c r="J69" s="20">
        <f t="shared" si="5"/>
        <v>117166.86</v>
      </c>
      <c r="K69" s="18"/>
    </row>
    <row r="70" spans="1:11" x14ac:dyDescent="0.25">
      <c r="A70" s="25">
        <v>59</v>
      </c>
      <c r="B70" s="26">
        <v>46327</v>
      </c>
      <c r="C70" s="20">
        <f t="shared" si="6"/>
        <v>117166.86</v>
      </c>
      <c r="D70" s="27">
        <f t="shared" si="0"/>
        <v>1041.1365792138233</v>
      </c>
      <c r="E70" s="28">
        <f t="shared" si="1"/>
        <v>118207.99657921382</v>
      </c>
      <c r="F70" s="28">
        <f t="shared" si="2"/>
        <v>2083.3333333333335</v>
      </c>
      <c r="G70" s="20">
        <f t="shared" si="3"/>
        <v>3124.469912547157</v>
      </c>
      <c r="H70" s="20">
        <v>0</v>
      </c>
      <c r="I70" s="20">
        <f t="shared" si="4"/>
        <v>3124.469912547157</v>
      </c>
      <c r="J70" s="20">
        <f t="shared" si="5"/>
        <v>115083.53</v>
      </c>
      <c r="K70" s="18"/>
    </row>
    <row r="71" spans="1:11" x14ac:dyDescent="0.25">
      <c r="A71" s="25">
        <v>60</v>
      </c>
      <c r="B71" s="26">
        <v>46357</v>
      </c>
      <c r="C71" s="20">
        <f t="shared" si="6"/>
        <v>115083.53</v>
      </c>
      <c r="D71" s="27">
        <f t="shared" si="0"/>
        <v>1022.6242535479009</v>
      </c>
      <c r="E71" s="28">
        <f t="shared" si="1"/>
        <v>116106.15425354789</v>
      </c>
      <c r="F71" s="28">
        <f t="shared" si="2"/>
        <v>2083.3333333333335</v>
      </c>
      <c r="G71" s="20">
        <f t="shared" si="3"/>
        <v>3105.9575868812344</v>
      </c>
      <c r="H71" s="20">
        <v>0</v>
      </c>
      <c r="I71" s="20">
        <f t="shared" si="4"/>
        <v>3105.9575868812344</v>
      </c>
      <c r="J71" s="20">
        <f t="shared" si="5"/>
        <v>113000.2</v>
      </c>
      <c r="K71" s="18"/>
    </row>
    <row r="72" spans="1:11" x14ac:dyDescent="0.25">
      <c r="A72" s="25">
        <v>61</v>
      </c>
      <c r="B72" s="26">
        <v>46388</v>
      </c>
      <c r="C72" s="20">
        <f t="shared" si="6"/>
        <v>113000.2</v>
      </c>
      <c r="D72" s="27">
        <f t="shared" si="0"/>
        <v>1004.1119278819785</v>
      </c>
      <c r="E72" s="19">
        <f t="shared" si="1"/>
        <v>114004.31192788198</v>
      </c>
      <c r="F72" s="19">
        <f t="shared" si="2"/>
        <v>2083.3333333333335</v>
      </c>
      <c r="G72" s="20">
        <f t="shared" si="3"/>
        <v>3087.4452612153118</v>
      </c>
      <c r="H72" s="20">
        <v>0</v>
      </c>
      <c r="I72" s="20">
        <f t="shared" si="4"/>
        <v>3087.4452612153118</v>
      </c>
      <c r="J72" s="20">
        <f t="shared" si="5"/>
        <v>110916.87</v>
      </c>
      <c r="K72" s="18"/>
    </row>
    <row r="73" spans="1:11" x14ac:dyDescent="0.25">
      <c r="A73" s="25">
        <v>62</v>
      </c>
      <c r="B73" s="26">
        <v>46419</v>
      </c>
      <c r="C73" s="20">
        <f t="shared" si="6"/>
        <v>110916.87</v>
      </c>
      <c r="D73" s="27">
        <f t="shared" si="0"/>
        <v>985.59960221605616</v>
      </c>
      <c r="E73" s="19">
        <f t="shared" si="1"/>
        <v>111902.46960221605</v>
      </c>
      <c r="F73" s="19">
        <f t="shared" si="2"/>
        <v>2083.3333333333335</v>
      </c>
      <c r="G73" s="20">
        <f t="shared" si="3"/>
        <v>3068.9329355493896</v>
      </c>
      <c r="H73" s="20">
        <v>0</v>
      </c>
      <c r="I73" s="20">
        <f t="shared" si="4"/>
        <v>3068.9329355493896</v>
      </c>
      <c r="J73" s="20">
        <f t="shared" si="5"/>
        <v>108833.54</v>
      </c>
      <c r="K73" s="18"/>
    </row>
    <row r="74" spans="1:11" x14ac:dyDescent="0.25">
      <c r="A74" s="25">
        <v>63</v>
      </c>
      <c r="B74" s="26">
        <v>46447</v>
      </c>
      <c r="C74" s="20">
        <f t="shared" si="6"/>
        <v>108833.54</v>
      </c>
      <c r="D74" s="27">
        <f t="shared" si="0"/>
        <v>967.08727655013377</v>
      </c>
      <c r="E74" s="19">
        <f t="shared" si="1"/>
        <v>109800.62727655013</v>
      </c>
      <c r="F74" s="19">
        <f t="shared" si="2"/>
        <v>2083.3333333333335</v>
      </c>
      <c r="G74" s="20">
        <f t="shared" si="3"/>
        <v>3050.4206098834675</v>
      </c>
      <c r="H74" s="20">
        <v>0</v>
      </c>
      <c r="I74" s="20">
        <f t="shared" si="4"/>
        <v>3050.4206098834675</v>
      </c>
      <c r="J74" s="20">
        <f t="shared" si="5"/>
        <v>106750.21</v>
      </c>
      <c r="K74" s="18"/>
    </row>
    <row r="75" spans="1:11" x14ac:dyDescent="0.25">
      <c r="A75" s="25">
        <v>64</v>
      </c>
      <c r="B75" s="26">
        <v>46478</v>
      </c>
      <c r="C75" s="20">
        <f t="shared" si="6"/>
        <v>106750.21</v>
      </c>
      <c r="D75" s="27">
        <f t="shared" si="0"/>
        <v>948.57495088421149</v>
      </c>
      <c r="E75" s="19">
        <f t="shared" si="1"/>
        <v>107698.78495088422</v>
      </c>
      <c r="F75" s="19">
        <f t="shared" si="2"/>
        <v>2083.3333333333335</v>
      </c>
      <c r="G75" s="20">
        <f t="shared" si="3"/>
        <v>3031.9082842175449</v>
      </c>
      <c r="H75" s="20">
        <v>0</v>
      </c>
      <c r="I75" s="20">
        <f t="shared" si="4"/>
        <v>3031.9082842175449</v>
      </c>
      <c r="J75" s="20">
        <f t="shared" si="5"/>
        <v>104666.88</v>
      </c>
      <c r="K75" s="18"/>
    </row>
    <row r="76" spans="1:11" x14ac:dyDescent="0.25">
      <c r="A76" s="25">
        <v>65</v>
      </c>
      <c r="B76" s="26">
        <v>46508</v>
      </c>
      <c r="C76" s="20">
        <f t="shared" si="6"/>
        <v>104666.88</v>
      </c>
      <c r="D76" s="27">
        <f t="shared" si="0"/>
        <v>930.0626252182891</v>
      </c>
      <c r="E76" s="19">
        <f t="shared" si="1"/>
        <v>105596.94262521829</v>
      </c>
      <c r="F76" s="19">
        <f t="shared" si="2"/>
        <v>2083.3333333333335</v>
      </c>
      <c r="G76" s="20">
        <f t="shared" si="3"/>
        <v>3013.3959585516227</v>
      </c>
      <c r="H76" s="20">
        <v>0</v>
      </c>
      <c r="I76" s="20">
        <f t="shared" si="4"/>
        <v>3013.3959585516227</v>
      </c>
      <c r="J76" s="20">
        <f t="shared" si="5"/>
        <v>102583.55</v>
      </c>
      <c r="K76" s="18"/>
    </row>
    <row r="77" spans="1:11" x14ac:dyDescent="0.25">
      <c r="A77" s="25">
        <v>66</v>
      </c>
      <c r="B77" s="26">
        <v>46539</v>
      </c>
      <c r="C77" s="20">
        <f t="shared" si="6"/>
        <v>102583.55</v>
      </c>
      <c r="D77" s="27">
        <f t="shared" ref="D77:D140" si="7">C77*$C$6</f>
        <v>911.55029955236671</v>
      </c>
      <c r="E77" s="19">
        <f t="shared" ref="E77:E140" si="8">C77+D77</f>
        <v>103495.10029955237</v>
      </c>
      <c r="F77" s="19">
        <f t="shared" ref="F77:F140" si="9">IF(C77&gt;0,$C$4/$C$8,0)</f>
        <v>2083.3333333333335</v>
      </c>
      <c r="G77" s="20">
        <f t="shared" ref="G77:G140" si="10">IF(C77&gt;0,F77+D77,0)</f>
        <v>2994.8836328857001</v>
      </c>
      <c r="H77" s="20">
        <v>0</v>
      </c>
      <c r="I77" s="20">
        <f t="shared" ref="I77:I140" si="11">IF(C77&gt;0,H77+G77,0)</f>
        <v>2994.8836328857001</v>
      </c>
      <c r="J77" s="20">
        <f t="shared" ref="J77:J140" si="12">IF(E77-I77&gt;0,ROUND(E77-I77,2),0)</f>
        <v>100500.22</v>
      </c>
      <c r="K77" s="18"/>
    </row>
    <row r="78" spans="1:11" x14ac:dyDescent="0.25">
      <c r="A78" s="25">
        <v>67</v>
      </c>
      <c r="B78" s="26">
        <v>46569</v>
      </c>
      <c r="C78" s="20">
        <f t="shared" ref="C78:C141" si="13">IF(J77&gt;0,J77,0)</f>
        <v>100500.22</v>
      </c>
      <c r="D78" s="27">
        <f t="shared" si="7"/>
        <v>893.03797388644432</v>
      </c>
      <c r="E78" s="19">
        <f t="shared" si="8"/>
        <v>101393.25797388644</v>
      </c>
      <c r="F78" s="19">
        <f t="shared" si="9"/>
        <v>2083.3333333333335</v>
      </c>
      <c r="G78" s="20">
        <f t="shared" si="10"/>
        <v>2976.3713072197779</v>
      </c>
      <c r="H78" s="20">
        <v>0</v>
      </c>
      <c r="I78" s="20">
        <f t="shared" si="11"/>
        <v>2976.3713072197779</v>
      </c>
      <c r="J78" s="20">
        <f t="shared" si="12"/>
        <v>98416.89</v>
      </c>
      <c r="K78" s="18"/>
    </row>
    <row r="79" spans="1:11" x14ac:dyDescent="0.25">
      <c r="A79" s="25">
        <v>68</v>
      </c>
      <c r="B79" s="26">
        <v>46600</v>
      </c>
      <c r="C79" s="20">
        <f t="shared" si="13"/>
        <v>98416.89</v>
      </c>
      <c r="D79" s="27">
        <f t="shared" si="7"/>
        <v>874.52564822052193</v>
      </c>
      <c r="E79" s="19">
        <f t="shared" si="8"/>
        <v>99291.415648220514</v>
      </c>
      <c r="F79" s="19">
        <f t="shared" si="9"/>
        <v>2083.3333333333335</v>
      </c>
      <c r="G79" s="20">
        <f t="shared" si="10"/>
        <v>2957.8589815538553</v>
      </c>
      <c r="H79" s="20">
        <v>0</v>
      </c>
      <c r="I79" s="20">
        <f t="shared" si="11"/>
        <v>2957.8589815538553</v>
      </c>
      <c r="J79" s="20">
        <f t="shared" si="12"/>
        <v>96333.56</v>
      </c>
      <c r="K79" s="18"/>
    </row>
    <row r="80" spans="1:11" x14ac:dyDescent="0.25">
      <c r="A80" s="25">
        <v>69</v>
      </c>
      <c r="B80" s="26">
        <v>46631</v>
      </c>
      <c r="C80" s="20">
        <f t="shared" si="13"/>
        <v>96333.56</v>
      </c>
      <c r="D80" s="27">
        <f t="shared" si="7"/>
        <v>856.01332255459954</v>
      </c>
      <c r="E80" s="19">
        <f t="shared" si="8"/>
        <v>97189.573322554599</v>
      </c>
      <c r="F80" s="19">
        <f t="shared" si="9"/>
        <v>2083.3333333333335</v>
      </c>
      <c r="G80" s="20">
        <f t="shared" si="10"/>
        <v>2939.3466558879331</v>
      </c>
      <c r="H80" s="20">
        <v>0</v>
      </c>
      <c r="I80" s="20">
        <f t="shared" si="11"/>
        <v>2939.3466558879331</v>
      </c>
      <c r="J80" s="20">
        <f t="shared" si="12"/>
        <v>94250.23</v>
      </c>
      <c r="K80" s="18"/>
    </row>
    <row r="81" spans="1:11" x14ac:dyDescent="0.25">
      <c r="A81" s="25">
        <v>70</v>
      </c>
      <c r="B81" s="26">
        <v>46661</v>
      </c>
      <c r="C81" s="20">
        <f t="shared" si="13"/>
        <v>94250.23</v>
      </c>
      <c r="D81" s="27">
        <f t="shared" si="7"/>
        <v>837.50099688867715</v>
      </c>
      <c r="E81" s="19">
        <f t="shared" si="8"/>
        <v>95087.730996888669</v>
      </c>
      <c r="F81" s="19">
        <f t="shared" si="9"/>
        <v>2083.3333333333335</v>
      </c>
      <c r="G81" s="20">
        <f t="shared" si="10"/>
        <v>2920.8343302220105</v>
      </c>
      <c r="H81" s="20">
        <v>0</v>
      </c>
      <c r="I81" s="20">
        <f t="shared" si="11"/>
        <v>2920.8343302220105</v>
      </c>
      <c r="J81" s="20">
        <f t="shared" si="12"/>
        <v>92166.9</v>
      </c>
      <c r="K81" s="18"/>
    </row>
    <row r="82" spans="1:11" x14ac:dyDescent="0.25">
      <c r="A82" s="25">
        <v>71</v>
      </c>
      <c r="B82" s="26">
        <v>46692</v>
      </c>
      <c r="C82" s="20">
        <f t="shared" si="13"/>
        <v>92166.9</v>
      </c>
      <c r="D82" s="27">
        <f t="shared" si="7"/>
        <v>818.98867122275476</v>
      </c>
      <c r="E82" s="19">
        <f t="shared" si="8"/>
        <v>92985.888671222754</v>
      </c>
      <c r="F82" s="19">
        <f t="shared" si="9"/>
        <v>2083.3333333333335</v>
      </c>
      <c r="G82" s="20">
        <f t="shared" si="10"/>
        <v>2902.3220045560884</v>
      </c>
      <c r="H82" s="20">
        <v>0</v>
      </c>
      <c r="I82" s="20">
        <f t="shared" si="11"/>
        <v>2902.3220045560884</v>
      </c>
      <c r="J82" s="20">
        <f t="shared" si="12"/>
        <v>90083.57</v>
      </c>
      <c r="K82" s="18"/>
    </row>
    <row r="83" spans="1:11" x14ac:dyDescent="0.25">
      <c r="A83" s="25">
        <v>72</v>
      </c>
      <c r="B83" s="26">
        <v>46722</v>
      </c>
      <c r="C83" s="20">
        <f t="shared" si="13"/>
        <v>90083.57</v>
      </c>
      <c r="D83" s="27">
        <f t="shared" si="7"/>
        <v>800.47634555683248</v>
      </c>
      <c r="E83" s="19">
        <f t="shared" si="8"/>
        <v>90884.046345556839</v>
      </c>
      <c r="F83" s="19">
        <f t="shared" si="9"/>
        <v>2083.3333333333335</v>
      </c>
      <c r="G83" s="20">
        <f t="shared" si="10"/>
        <v>2883.8096788901657</v>
      </c>
      <c r="H83" s="20">
        <v>0</v>
      </c>
      <c r="I83" s="20">
        <f t="shared" si="11"/>
        <v>2883.8096788901657</v>
      </c>
      <c r="J83" s="20">
        <f t="shared" si="12"/>
        <v>88000.24</v>
      </c>
      <c r="K83" s="18"/>
    </row>
    <row r="84" spans="1:11" x14ac:dyDescent="0.25">
      <c r="A84" s="25">
        <v>73</v>
      </c>
      <c r="B84" s="26">
        <v>46753</v>
      </c>
      <c r="C84" s="20">
        <f t="shared" si="13"/>
        <v>88000.24</v>
      </c>
      <c r="D84" s="27">
        <f t="shared" si="7"/>
        <v>781.96401989091009</v>
      </c>
      <c r="E84" s="19">
        <f t="shared" si="8"/>
        <v>88782.204019890909</v>
      </c>
      <c r="F84" s="19">
        <f t="shared" si="9"/>
        <v>2083.3333333333335</v>
      </c>
      <c r="G84" s="20">
        <f t="shared" si="10"/>
        <v>2865.2973532242436</v>
      </c>
      <c r="H84" s="20">
        <v>0</v>
      </c>
      <c r="I84" s="20">
        <f t="shared" si="11"/>
        <v>2865.2973532242436</v>
      </c>
      <c r="J84" s="20">
        <f t="shared" si="12"/>
        <v>85916.91</v>
      </c>
      <c r="K84" s="18"/>
    </row>
    <row r="85" spans="1:11" x14ac:dyDescent="0.25">
      <c r="A85" s="25">
        <v>74</v>
      </c>
      <c r="B85" s="26">
        <v>46784</v>
      </c>
      <c r="C85" s="20">
        <f t="shared" si="13"/>
        <v>85916.91</v>
      </c>
      <c r="D85" s="27">
        <f t="shared" si="7"/>
        <v>763.4516942249877</v>
      </c>
      <c r="E85" s="19">
        <f t="shared" si="8"/>
        <v>86680.361694224994</v>
      </c>
      <c r="F85" s="19">
        <f t="shared" si="9"/>
        <v>2083.3333333333335</v>
      </c>
      <c r="G85" s="20">
        <f t="shared" si="10"/>
        <v>2846.7850275583214</v>
      </c>
      <c r="H85" s="20">
        <v>0</v>
      </c>
      <c r="I85" s="20">
        <f t="shared" si="11"/>
        <v>2846.7850275583214</v>
      </c>
      <c r="J85" s="20">
        <f t="shared" si="12"/>
        <v>83833.58</v>
      </c>
      <c r="K85" s="18"/>
    </row>
    <row r="86" spans="1:11" x14ac:dyDescent="0.25">
      <c r="A86" s="25">
        <v>75</v>
      </c>
      <c r="B86" s="26">
        <v>46813</v>
      </c>
      <c r="C86" s="20">
        <f t="shared" si="13"/>
        <v>83833.58</v>
      </c>
      <c r="D86" s="27">
        <f t="shared" si="7"/>
        <v>744.9393685590652</v>
      </c>
      <c r="E86" s="19">
        <f t="shared" si="8"/>
        <v>84578.519368559064</v>
      </c>
      <c r="F86" s="19">
        <f t="shared" si="9"/>
        <v>2083.3333333333335</v>
      </c>
      <c r="G86" s="20">
        <f t="shared" si="10"/>
        <v>2828.2727018923988</v>
      </c>
      <c r="H86" s="20">
        <v>0</v>
      </c>
      <c r="I86" s="20">
        <f t="shared" si="11"/>
        <v>2828.2727018923988</v>
      </c>
      <c r="J86" s="20">
        <f t="shared" si="12"/>
        <v>81750.25</v>
      </c>
      <c r="K86" s="18"/>
    </row>
    <row r="87" spans="1:11" x14ac:dyDescent="0.25">
      <c r="A87" s="25">
        <v>76</v>
      </c>
      <c r="B87" s="26">
        <v>46844</v>
      </c>
      <c r="C87" s="20">
        <f t="shared" si="13"/>
        <v>81750.25</v>
      </c>
      <c r="D87" s="27">
        <f t="shared" si="7"/>
        <v>726.42704289314281</v>
      </c>
      <c r="E87" s="19">
        <f t="shared" si="8"/>
        <v>82476.677042893149</v>
      </c>
      <c r="F87" s="19">
        <f t="shared" si="9"/>
        <v>2083.3333333333335</v>
      </c>
      <c r="G87" s="20">
        <f t="shared" si="10"/>
        <v>2809.7603762264762</v>
      </c>
      <c r="H87" s="20">
        <v>0</v>
      </c>
      <c r="I87" s="20">
        <f t="shared" si="11"/>
        <v>2809.7603762264762</v>
      </c>
      <c r="J87" s="20">
        <f t="shared" si="12"/>
        <v>79666.92</v>
      </c>
      <c r="K87" s="18"/>
    </row>
    <row r="88" spans="1:11" x14ac:dyDescent="0.25">
      <c r="A88" s="25">
        <v>77</v>
      </c>
      <c r="B88" s="26">
        <v>46874</v>
      </c>
      <c r="C88" s="20">
        <f t="shared" si="13"/>
        <v>79666.92</v>
      </c>
      <c r="D88" s="27">
        <f t="shared" si="7"/>
        <v>707.91471722722042</v>
      </c>
      <c r="E88" s="19">
        <f t="shared" si="8"/>
        <v>80374.834717227219</v>
      </c>
      <c r="F88" s="19">
        <f t="shared" si="9"/>
        <v>2083.3333333333335</v>
      </c>
      <c r="G88" s="20">
        <f t="shared" si="10"/>
        <v>2791.248050560554</v>
      </c>
      <c r="H88" s="20">
        <v>0</v>
      </c>
      <c r="I88" s="20">
        <f t="shared" si="11"/>
        <v>2791.248050560554</v>
      </c>
      <c r="J88" s="20">
        <f t="shared" si="12"/>
        <v>77583.59</v>
      </c>
      <c r="K88" s="18"/>
    </row>
    <row r="89" spans="1:11" x14ac:dyDescent="0.25">
      <c r="A89" s="25">
        <v>78</v>
      </c>
      <c r="B89" s="26">
        <v>46905</v>
      </c>
      <c r="C89" s="20">
        <f t="shared" si="13"/>
        <v>77583.59</v>
      </c>
      <c r="D89" s="27">
        <f t="shared" si="7"/>
        <v>689.40239156129803</v>
      </c>
      <c r="E89" s="19">
        <f t="shared" si="8"/>
        <v>78272.992391561289</v>
      </c>
      <c r="F89" s="19">
        <f t="shared" si="9"/>
        <v>2083.3333333333335</v>
      </c>
      <c r="G89" s="20">
        <f t="shared" si="10"/>
        <v>2772.7357248946314</v>
      </c>
      <c r="H89" s="20">
        <v>0</v>
      </c>
      <c r="I89" s="20">
        <f t="shared" si="11"/>
        <v>2772.7357248946314</v>
      </c>
      <c r="J89" s="20">
        <f t="shared" si="12"/>
        <v>75500.259999999995</v>
      </c>
      <c r="K89" s="18"/>
    </row>
    <row r="90" spans="1:11" x14ac:dyDescent="0.25">
      <c r="A90" s="25">
        <v>79</v>
      </c>
      <c r="B90" s="26">
        <v>46935</v>
      </c>
      <c r="C90" s="20">
        <f t="shared" si="13"/>
        <v>75500.259999999995</v>
      </c>
      <c r="D90" s="27">
        <f t="shared" si="7"/>
        <v>670.89006589537564</v>
      </c>
      <c r="E90" s="19">
        <f t="shared" si="8"/>
        <v>76171.150065895374</v>
      </c>
      <c r="F90" s="19">
        <f t="shared" si="9"/>
        <v>2083.3333333333335</v>
      </c>
      <c r="G90" s="20">
        <f t="shared" si="10"/>
        <v>2754.2233992287092</v>
      </c>
      <c r="H90" s="20">
        <v>0</v>
      </c>
      <c r="I90" s="20">
        <f t="shared" si="11"/>
        <v>2754.2233992287092</v>
      </c>
      <c r="J90" s="20">
        <f t="shared" si="12"/>
        <v>73416.929999999993</v>
      </c>
      <c r="K90" s="18"/>
    </row>
    <row r="91" spans="1:11" x14ac:dyDescent="0.25">
      <c r="A91" s="25">
        <v>80</v>
      </c>
      <c r="B91" s="26">
        <v>46966</v>
      </c>
      <c r="C91" s="20">
        <f t="shared" si="13"/>
        <v>73416.929999999993</v>
      </c>
      <c r="D91" s="27">
        <f t="shared" si="7"/>
        <v>652.37774022945325</v>
      </c>
      <c r="E91" s="19">
        <f t="shared" si="8"/>
        <v>74069.307740229444</v>
      </c>
      <c r="F91" s="19">
        <f t="shared" si="9"/>
        <v>2083.3333333333335</v>
      </c>
      <c r="G91" s="20">
        <f t="shared" si="10"/>
        <v>2735.7110735627866</v>
      </c>
      <c r="H91" s="20">
        <v>0</v>
      </c>
      <c r="I91" s="20">
        <f t="shared" si="11"/>
        <v>2735.7110735627866</v>
      </c>
      <c r="J91" s="20">
        <f t="shared" si="12"/>
        <v>71333.600000000006</v>
      </c>
      <c r="K91" s="18"/>
    </row>
    <row r="92" spans="1:11" x14ac:dyDescent="0.25">
      <c r="A92" s="25">
        <v>81</v>
      </c>
      <c r="B92" s="26">
        <v>46997</v>
      </c>
      <c r="C92" s="20">
        <f t="shared" si="13"/>
        <v>71333.600000000006</v>
      </c>
      <c r="D92" s="27">
        <f t="shared" si="7"/>
        <v>633.86541456353098</v>
      </c>
      <c r="E92" s="19">
        <f t="shared" si="8"/>
        <v>71967.465414563543</v>
      </c>
      <c r="F92" s="19">
        <f t="shared" si="9"/>
        <v>2083.3333333333335</v>
      </c>
      <c r="G92" s="20">
        <f t="shared" si="10"/>
        <v>2717.1987478968645</v>
      </c>
      <c r="H92" s="20">
        <v>0</v>
      </c>
      <c r="I92" s="20">
        <f t="shared" si="11"/>
        <v>2717.1987478968645</v>
      </c>
      <c r="J92" s="20">
        <f t="shared" si="12"/>
        <v>69250.27</v>
      </c>
      <c r="K92" s="18"/>
    </row>
    <row r="93" spans="1:11" x14ac:dyDescent="0.25">
      <c r="A93" s="25">
        <v>82</v>
      </c>
      <c r="B93" s="26">
        <v>47027</v>
      </c>
      <c r="C93" s="20">
        <f t="shared" si="13"/>
        <v>69250.27</v>
      </c>
      <c r="D93" s="27">
        <f t="shared" si="7"/>
        <v>615.35308889760859</v>
      </c>
      <c r="E93" s="19">
        <f t="shared" si="8"/>
        <v>69865.623088897613</v>
      </c>
      <c r="F93" s="19">
        <f t="shared" si="9"/>
        <v>2083.3333333333335</v>
      </c>
      <c r="G93" s="20">
        <f t="shared" si="10"/>
        <v>2698.6864222309423</v>
      </c>
      <c r="H93" s="20">
        <v>0</v>
      </c>
      <c r="I93" s="20">
        <f t="shared" si="11"/>
        <v>2698.6864222309423</v>
      </c>
      <c r="J93" s="20">
        <f t="shared" si="12"/>
        <v>67166.94</v>
      </c>
      <c r="K93" s="18"/>
    </row>
    <row r="94" spans="1:11" x14ac:dyDescent="0.25">
      <c r="A94" s="25">
        <v>83</v>
      </c>
      <c r="B94" s="26">
        <v>47058</v>
      </c>
      <c r="C94" s="20">
        <f t="shared" si="13"/>
        <v>67166.94</v>
      </c>
      <c r="D94" s="27">
        <f t="shared" si="7"/>
        <v>596.8407632316862</v>
      </c>
      <c r="E94" s="19">
        <f t="shared" si="8"/>
        <v>67763.780763231684</v>
      </c>
      <c r="F94" s="19">
        <f t="shared" si="9"/>
        <v>2083.3333333333335</v>
      </c>
      <c r="G94" s="20">
        <f t="shared" si="10"/>
        <v>2680.1740965650197</v>
      </c>
      <c r="H94" s="20">
        <v>0</v>
      </c>
      <c r="I94" s="20">
        <f t="shared" si="11"/>
        <v>2680.1740965650197</v>
      </c>
      <c r="J94" s="20">
        <f t="shared" si="12"/>
        <v>65083.61</v>
      </c>
      <c r="K94" s="18"/>
    </row>
    <row r="95" spans="1:11" x14ac:dyDescent="0.25">
      <c r="A95" s="25">
        <v>84</v>
      </c>
      <c r="B95" s="26">
        <v>47088</v>
      </c>
      <c r="C95" s="20">
        <f t="shared" si="13"/>
        <v>65083.61</v>
      </c>
      <c r="D95" s="27">
        <f t="shared" si="7"/>
        <v>578.32843756576381</v>
      </c>
      <c r="E95" s="19">
        <f t="shared" si="8"/>
        <v>65661.938437565768</v>
      </c>
      <c r="F95" s="19">
        <f t="shared" si="9"/>
        <v>2083.3333333333335</v>
      </c>
      <c r="G95" s="20">
        <f t="shared" si="10"/>
        <v>2661.6617708990971</v>
      </c>
      <c r="H95" s="20">
        <v>0</v>
      </c>
      <c r="I95" s="20">
        <f t="shared" si="11"/>
        <v>2661.6617708990971</v>
      </c>
      <c r="J95" s="20">
        <f t="shared" si="12"/>
        <v>63000.28</v>
      </c>
      <c r="K95" s="18"/>
    </row>
    <row r="96" spans="1:11" x14ac:dyDescent="0.25">
      <c r="A96" s="25">
        <v>85</v>
      </c>
      <c r="B96" s="26">
        <v>47119</v>
      </c>
      <c r="C96" s="20">
        <f t="shared" si="13"/>
        <v>63000.28</v>
      </c>
      <c r="D96" s="27">
        <f t="shared" si="7"/>
        <v>559.81611189984142</v>
      </c>
      <c r="E96" s="19">
        <f t="shared" si="8"/>
        <v>63560.096111899838</v>
      </c>
      <c r="F96" s="19">
        <f t="shared" si="9"/>
        <v>2083.3333333333335</v>
      </c>
      <c r="G96" s="20">
        <f t="shared" si="10"/>
        <v>2643.1494452331749</v>
      </c>
      <c r="H96" s="20">
        <v>0</v>
      </c>
      <c r="I96" s="20">
        <f t="shared" si="11"/>
        <v>2643.1494452331749</v>
      </c>
      <c r="J96" s="20">
        <f t="shared" si="12"/>
        <v>60916.95</v>
      </c>
      <c r="K96" s="18"/>
    </row>
    <row r="97" spans="1:11" x14ac:dyDescent="0.25">
      <c r="A97" s="25">
        <v>86</v>
      </c>
      <c r="B97" s="26">
        <v>47150</v>
      </c>
      <c r="C97" s="20">
        <f t="shared" si="13"/>
        <v>60916.95</v>
      </c>
      <c r="D97" s="27">
        <f t="shared" si="7"/>
        <v>541.30378623391903</v>
      </c>
      <c r="E97" s="19">
        <f t="shared" si="8"/>
        <v>61458.253786233916</v>
      </c>
      <c r="F97" s="19">
        <f t="shared" si="9"/>
        <v>2083.3333333333335</v>
      </c>
      <c r="G97" s="20">
        <f t="shared" si="10"/>
        <v>2624.6371195672527</v>
      </c>
      <c r="H97" s="20">
        <v>0</v>
      </c>
      <c r="I97" s="20">
        <f t="shared" si="11"/>
        <v>2624.6371195672527</v>
      </c>
      <c r="J97" s="20">
        <f t="shared" si="12"/>
        <v>58833.62</v>
      </c>
      <c r="K97" s="18"/>
    </row>
    <row r="98" spans="1:11" x14ac:dyDescent="0.25">
      <c r="A98" s="25">
        <v>87</v>
      </c>
      <c r="B98" s="26">
        <v>47178</v>
      </c>
      <c r="C98" s="20">
        <f t="shared" si="13"/>
        <v>58833.62</v>
      </c>
      <c r="D98" s="27">
        <f t="shared" si="7"/>
        <v>522.79146056799664</v>
      </c>
      <c r="E98" s="19">
        <f t="shared" si="8"/>
        <v>59356.411460568001</v>
      </c>
      <c r="F98" s="19">
        <f t="shared" si="9"/>
        <v>2083.3333333333335</v>
      </c>
      <c r="G98" s="20">
        <f t="shared" si="10"/>
        <v>2606.1247939013301</v>
      </c>
      <c r="H98" s="20">
        <v>0</v>
      </c>
      <c r="I98" s="20">
        <f t="shared" si="11"/>
        <v>2606.1247939013301</v>
      </c>
      <c r="J98" s="20">
        <f t="shared" si="12"/>
        <v>56750.29</v>
      </c>
      <c r="K98" s="18"/>
    </row>
    <row r="99" spans="1:11" x14ac:dyDescent="0.25">
      <c r="A99" s="25">
        <v>88</v>
      </c>
      <c r="B99" s="26">
        <v>47209</v>
      </c>
      <c r="C99" s="20">
        <f t="shared" si="13"/>
        <v>56750.29</v>
      </c>
      <c r="D99" s="27">
        <f t="shared" si="7"/>
        <v>504.27913490207425</v>
      </c>
      <c r="E99" s="19">
        <f t="shared" si="8"/>
        <v>57254.569134902078</v>
      </c>
      <c r="F99" s="19">
        <f t="shared" si="9"/>
        <v>2083.3333333333335</v>
      </c>
      <c r="G99" s="20">
        <f t="shared" si="10"/>
        <v>2587.6124682354075</v>
      </c>
      <c r="H99" s="20">
        <v>0</v>
      </c>
      <c r="I99" s="20">
        <f t="shared" si="11"/>
        <v>2587.6124682354075</v>
      </c>
      <c r="J99" s="20">
        <f t="shared" si="12"/>
        <v>54666.96</v>
      </c>
      <c r="K99" s="18"/>
    </row>
    <row r="100" spans="1:11" x14ac:dyDescent="0.25">
      <c r="A100" s="25">
        <v>89</v>
      </c>
      <c r="B100" s="26">
        <v>47239</v>
      </c>
      <c r="C100" s="20">
        <f t="shared" si="13"/>
        <v>54666.96</v>
      </c>
      <c r="D100" s="27">
        <f t="shared" si="7"/>
        <v>485.76680923615186</v>
      </c>
      <c r="E100" s="19">
        <f t="shared" si="8"/>
        <v>55152.726809236148</v>
      </c>
      <c r="F100" s="19">
        <f t="shared" si="9"/>
        <v>2083.3333333333335</v>
      </c>
      <c r="G100" s="20">
        <f t="shared" si="10"/>
        <v>2569.1001425694853</v>
      </c>
      <c r="H100" s="20">
        <v>0</v>
      </c>
      <c r="I100" s="20">
        <f t="shared" si="11"/>
        <v>2569.1001425694853</v>
      </c>
      <c r="J100" s="20">
        <f t="shared" si="12"/>
        <v>52583.63</v>
      </c>
      <c r="K100" s="18"/>
    </row>
    <row r="101" spans="1:11" x14ac:dyDescent="0.25">
      <c r="A101" s="25">
        <v>90</v>
      </c>
      <c r="B101" s="26">
        <v>47270</v>
      </c>
      <c r="C101" s="20">
        <f t="shared" si="13"/>
        <v>52583.63</v>
      </c>
      <c r="D101" s="27">
        <f t="shared" si="7"/>
        <v>467.25448357022947</v>
      </c>
      <c r="E101" s="19">
        <f t="shared" si="8"/>
        <v>53050.884483570226</v>
      </c>
      <c r="F101" s="19">
        <f t="shared" si="9"/>
        <v>2083.3333333333335</v>
      </c>
      <c r="G101" s="20">
        <f t="shared" si="10"/>
        <v>2550.5878169035632</v>
      </c>
      <c r="H101" s="20">
        <v>0</v>
      </c>
      <c r="I101" s="20">
        <f t="shared" si="11"/>
        <v>2550.5878169035632</v>
      </c>
      <c r="J101" s="20">
        <f t="shared" si="12"/>
        <v>50500.3</v>
      </c>
      <c r="K101" s="18"/>
    </row>
    <row r="102" spans="1:11" x14ac:dyDescent="0.25">
      <c r="A102" s="25">
        <v>91</v>
      </c>
      <c r="B102" s="26">
        <v>47300</v>
      </c>
      <c r="C102" s="20">
        <f t="shared" si="13"/>
        <v>50500.3</v>
      </c>
      <c r="D102" s="27">
        <f t="shared" si="7"/>
        <v>448.74215790430713</v>
      </c>
      <c r="E102" s="19">
        <f t="shared" si="8"/>
        <v>50949.04215790431</v>
      </c>
      <c r="F102" s="19">
        <f t="shared" si="9"/>
        <v>2083.3333333333335</v>
      </c>
      <c r="G102" s="20">
        <f t="shared" si="10"/>
        <v>2532.0754912376406</v>
      </c>
      <c r="H102" s="20">
        <v>0</v>
      </c>
      <c r="I102" s="20">
        <f t="shared" si="11"/>
        <v>2532.0754912376406</v>
      </c>
      <c r="J102" s="20">
        <f t="shared" si="12"/>
        <v>48416.97</v>
      </c>
      <c r="K102" s="18"/>
    </row>
    <row r="103" spans="1:11" x14ac:dyDescent="0.25">
      <c r="A103" s="25">
        <v>92</v>
      </c>
      <c r="B103" s="26">
        <v>47331</v>
      </c>
      <c r="C103" s="20">
        <f t="shared" si="13"/>
        <v>48416.97</v>
      </c>
      <c r="D103" s="27">
        <f t="shared" si="7"/>
        <v>430.22983223838474</v>
      </c>
      <c r="E103" s="19">
        <f t="shared" si="8"/>
        <v>48847.199832238388</v>
      </c>
      <c r="F103" s="19">
        <f t="shared" si="9"/>
        <v>2083.3333333333335</v>
      </c>
      <c r="G103" s="20">
        <f t="shared" si="10"/>
        <v>2513.5631655717184</v>
      </c>
      <c r="H103" s="20">
        <v>0</v>
      </c>
      <c r="I103" s="20">
        <f t="shared" si="11"/>
        <v>2513.5631655717184</v>
      </c>
      <c r="J103" s="20">
        <f t="shared" si="12"/>
        <v>46333.64</v>
      </c>
      <c r="K103" s="18"/>
    </row>
    <row r="104" spans="1:11" x14ac:dyDescent="0.25">
      <c r="A104" s="25">
        <v>93</v>
      </c>
      <c r="B104" s="26">
        <v>47362</v>
      </c>
      <c r="C104" s="20">
        <f t="shared" si="13"/>
        <v>46333.64</v>
      </c>
      <c r="D104" s="27">
        <f t="shared" si="7"/>
        <v>411.71750657246236</v>
      </c>
      <c r="E104" s="19">
        <f t="shared" si="8"/>
        <v>46745.357506572465</v>
      </c>
      <c r="F104" s="19">
        <f t="shared" si="9"/>
        <v>2083.3333333333335</v>
      </c>
      <c r="G104" s="20">
        <f t="shared" si="10"/>
        <v>2495.0508399057958</v>
      </c>
      <c r="H104" s="20">
        <v>0</v>
      </c>
      <c r="I104" s="20">
        <f t="shared" si="11"/>
        <v>2495.0508399057958</v>
      </c>
      <c r="J104" s="20">
        <f t="shared" si="12"/>
        <v>44250.31</v>
      </c>
      <c r="K104" s="18"/>
    </row>
    <row r="105" spans="1:11" x14ac:dyDescent="0.25">
      <c r="A105" s="25">
        <v>94</v>
      </c>
      <c r="B105" s="26">
        <v>47392</v>
      </c>
      <c r="C105" s="20">
        <f t="shared" si="13"/>
        <v>44250.31</v>
      </c>
      <c r="D105" s="27">
        <f t="shared" si="7"/>
        <v>393.20518090653991</v>
      </c>
      <c r="E105" s="19">
        <f t="shared" si="8"/>
        <v>44643.515180906536</v>
      </c>
      <c r="F105" s="19">
        <f t="shared" si="9"/>
        <v>2083.3333333333335</v>
      </c>
      <c r="G105" s="20">
        <f t="shared" si="10"/>
        <v>2476.5385142398736</v>
      </c>
      <c r="H105" s="20">
        <v>0</v>
      </c>
      <c r="I105" s="20">
        <f t="shared" si="11"/>
        <v>2476.5385142398736</v>
      </c>
      <c r="J105" s="20">
        <f t="shared" si="12"/>
        <v>42166.98</v>
      </c>
      <c r="K105" s="18"/>
    </row>
    <row r="106" spans="1:11" x14ac:dyDescent="0.25">
      <c r="A106" s="25">
        <v>95</v>
      </c>
      <c r="B106" s="26">
        <v>47423</v>
      </c>
      <c r="C106" s="20">
        <f t="shared" si="13"/>
        <v>42166.98</v>
      </c>
      <c r="D106" s="27">
        <f t="shared" si="7"/>
        <v>374.69285524061758</v>
      </c>
      <c r="E106" s="19">
        <f t="shared" si="8"/>
        <v>42541.67285524062</v>
      </c>
      <c r="F106" s="19">
        <f t="shared" si="9"/>
        <v>2083.3333333333335</v>
      </c>
      <c r="G106" s="20">
        <f t="shared" si="10"/>
        <v>2458.026188573951</v>
      </c>
      <c r="H106" s="20">
        <v>0</v>
      </c>
      <c r="I106" s="20">
        <f t="shared" si="11"/>
        <v>2458.026188573951</v>
      </c>
      <c r="J106" s="20">
        <f t="shared" si="12"/>
        <v>40083.65</v>
      </c>
      <c r="K106" s="18"/>
    </row>
    <row r="107" spans="1:11" x14ac:dyDescent="0.25">
      <c r="A107" s="25">
        <v>96</v>
      </c>
      <c r="B107" s="26">
        <v>47453</v>
      </c>
      <c r="C107" s="20">
        <f t="shared" si="13"/>
        <v>40083.65</v>
      </c>
      <c r="D107" s="27">
        <f t="shared" si="7"/>
        <v>356.18052957469519</v>
      </c>
      <c r="E107" s="19">
        <f t="shared" si="8"/>
        <v>40439.830529574698</v>
      </c>
      <c r="F107" s="19">
        <f t="shared" si="9"/>
        <v>2083.3333333333335</v>
      </c>
      <c r="G107" s="20">
        <f t="shared" si="10"/>
        <v>2439.5138629080288</v>
      </c>
      <c r="H107" s="20">
        <v>0</v>
      </c>
      <c r="I107" s="20">
        <f t="shared" si="11"/>
        <v>2439.5138629080288</v>
      </c>
      <c r="J107" s="20">
        <f t="shared" si="12"/>
        <v>38000.32</v>
      </c>
      <c r="K107" s="18"/>
    </row>
    <row r="108" spans="1:11" x14ac:dyDescent="0.25">
      <c r="A108" s="25">
        <v>97</v>
      </c>
      <c r="B108" s="26">
        <v>47484</v>
      </c>
      <c r="C108" s="20">
        <f t="shared" si="13"/>
        <v>38000.32</v>
      </c>
      <c r="D108" s="27">
        <f t="shared" si="7"/>
        <v>337.6682039087728</v>
      </c>
      <c r="E108" s="19">
        <f t="shared" si="8"/>
        <v>38337.988203908775</v>
      </c>
      <c r="F108" s="19">
        <f t="shared" si="9"/>
        <v>2083.3333333333335</v>
      </c>
      <c r="G108" s="20">
        <f t="shared" si="10"/>
        <v>2421.0015372421062</v>
      </c>
      <c r="H108" s="20">
        <v>0</v>
      </c>
      <c r="I108" s="20">
        <f t="shared" si="11"/>
        <v>2421.0015372421062</v>
      </c>
      <c r="J108" s="20">
        <f t="shared" si="12"/>
        <v>35916.99</v>
      </c>
      <c r="K108" s="18"/>
    </row>
    <row r="109" spans="1:11" x14ac:dyDescent="0.25">
      <c r="A109" s="25">
        <v>98</v>
      </c>
      <c r="B109" s="26">
        <v>47515</v>
      </c>
      <c r="C109" s="20">
        <f t="shared" si="13"/>
        <v>35916.99</v>
      </c>
      <c r="D109" s="27">
        <f t="shared" si="7"/>
        <v>319.15587824285041</v>
      </c>
      <c r="E109" s="19">
        <f t="shared" si="8"/>
        <v>36236.145878242845</v>
      </c>
      <c r="F109" s="19">
        <f t="shared" si="9"/>
        <v>2083.3333333333335</v>
      </c>
      <c r="G109" s="20">
        <f t="shared" si="10"/>
        <v>2402.4892115761841</v>
      </c>
      <c r="H109" s="20">
        <v>0</v>
      </c>
      <c r="I109" s="20">
        <f t="shared" si="11"/>
        <v>2402.4892115761841</v>
      </c>
      <c r="J109" s="20">
        <f t="shared" si="12"/>
        <v>33833.660000000003</v>
      </c>
      <c r="K109" s="18"/>
    </row>
    <row r="110" spans="1:11" x14ac:dyDescent="0.25">
      <c r="A110" s="25">
        <v>99</v>
      </c>
      <c r="B110" s="26">
        <v>47543</v>
      </c>
      <c r="C110" s="20">
        <f t="shared" si="13"/>
        <v>33833.660000000003</v>
      </c>
      <c r="D110" s="27">
        <f t="shared" si="7"/>
        <v>300.64355257692807</v>
      </c>
      <c r="E110" s="19">
        <f t="shared" si="8"/>
        <v>34134.30355257693</v>
      </c>
      <c r="F110" s="19">
        <f t="shared" si="9"/>
        <v>2083.3333333333335</v>
      </c>
      <c r="G110" s="20">
        <f t="shared" si="10"/>
        <v>2383.9768859102614</v>
      </c>
      <c r="H110" s="20">
        <v>0</v>
      </c>
      <c r="I110" s="20">
        <f t="shared" si="11"/>
        <v>2383.9768859102614</v>
      </c>
      <c r="J110" s="20">
        <f t="shared" si="12"/>
        <v>31750.33</v>
      </c>
      <c r="K110" s="18"/>
    </row>
    <row r="111" spans="1:11" x14ac:dyDescent="0.25">
      <c r="A111" s="25">
        <v>100</v>
      </c>
      <c r="B111" s="26">
        <v>47574</v>
      </c>
      <c r="C111" s="20">
        <f t="shared" si="13"/>
        <v>31750.33</v>
      </c>
      <c r="D111" s="27">
        <f t="shared" si="7"/>
        <v>282.13122691100568</v>
      </c>
      <c r="E111" s="19">
        <f t="shared" si="8"/>
        <v>32032.461226911008</v>
      </c>
      <c r="F111" s="19">
        <f t="shared" si="9"/>
        <v>2083.3333333333335</v>
      </c>
      <c r="G111" s="20">
        <f t="shared" si="10"/>
        <v>2365.4645602443393</v>
      </c>
      <c r="H111" s="20">
        <v>0</v>
      </c>
      <c r="I111" s="20">
        <f t="shared" si="11"/>
        <v>2365.4645602443393</v>
      </c>
      <c r="J111" s="20">
        <f t="shared" si="12"/>
        <v>29667</v>
      </c>
      <c r="K111" s="18"/>
    </row>
    <row r="112" spans="1:11" x14ac:dyDescent="0.25">
      <c r="A112" s="25">
        <v>101</v>
      </c>
      <c r="B112" s="26">
        <v>47604</v>
      </c>
      <c r="C112" s="20">
        <f t="shared" si="13"/>
        <v>29667</v>
      </c>
      <c r="D112" s="27">
        <f t="shared" si="7"/>
        <v>263.61890124508329</v>
      </c>
      <c r="E112" s="19">
        <f t="shared" si="8"/>
        <v>29930.618901245085</v>
      </c>
      <c r="F112" s="19">
        <f t="shared" si="9"/>
        <v>2083.3333333333335</v>
      </c>
      <c r="G112" s="20">
        <f t="shared" si="10"/>
        <v>2346.9522345784167</v>
      </c>
      <c r="H112" s="20">
        <v>0</v>
      </c>
      <c r="I112" s="20">
        <f t="shared" si="11"/>
        <v>2346.9522345784167</v>
      </c>
      <c r="J112" s="20">
        <f t="shared" si="12"/>
        <v>27583.67</v>
      </c>
      <c r="K112" s="18"/>
    </row>
    <row r="113" spans="1:11" x14ac:dyDescent="0.25">
      <c r="A113" s="25">
        <v>102</v>
      </c>
      <c r="B113" s="26">
        <v>47635</v>
      </c>
      <c r="C113" s="20">
        <f t="shared" si="13"/>
        <v>27583.67</v>
      </c>
      <c r="D113" s="27">
        <f t="shared" si="7"/>
        <v>245.10657557916088</v>
      </c>
      <c r="E113" s="19">
        <f t="shared" si="8"/>
        <v>27828.776575579159</v>
      </c>
      <c r="F113" s="19">
        <f t="shared" si="9"/>
        <v>2083.3333333333335</v>
      </c>
      <c r="G113" s="20">
        <f t="shared" si="10"/>
        <v>2328.4399089124945</v>
      </c>
      <c r="H113" s="20">
        <v>0</v>
      </c>
      <c r="I113" s="20">
        <f t="shared" si="11"/>
        <v>2328.4399089124945</v>
      </c>
      <c r="J113" s="20">
        <f t="shared" si="12"/>
        <v>25500.34</v>
      </c>
      <c r="K113" s="18"/>
    </row>
    <row r="114" spans="1:11" x14ac:dyDescent="0.25">
      <c r="A114" s="25">
        <v>103</v>
      </c>
      <c r="B114" s="26">
        <v>47665</v>
      </c>
      <c r="C114" s="20">
        <f t="shared" si="13"/>
        <v>25500.34</v>
      </c>
      <c r="D114" s="27">
        <f t="shared" si="7"/>
        <v>226.59424991323851</v>
      </c>
      <c r="E114" s="19">
        <f t="shared" si="8"/>
        <v>25726.93424991324</v>
      </c>
      <c r="F114" s="19">
        <f t="shared" si="9"/>
        <v>2083.3333333333335</v>
      </c>
      <c r="G114" s="20">
        <f t="shared" si="10"/>
        <v>2309.9275832465719</v>
      </c>
      <c r="H114" s="20">
        <v>0</v>
      </c>
      <c r="I114" s="20">
        <f t="shared" si="11"/>
        <v>2309.9275832465719</v>
      </c>
      <c r="J114" s="20">
        <f t="shared" si="12"/>
        <v>23417.01</v>
      </c>
      <c r="K114" s="18"/>
    </row>
    <row r="115" spans="1:11" x14ac:dyDescent="0.25">
      <c r="A115" s="25">
        <v>104</v>
      </c>
      <c r="B115" s="26">
        <v>47696</v>
      </c>
      <c r="C115" s="20">
        <f t="shared" si="13"/>
        <v>23417.01</v>
      </c>
      <c r="D115" s="27">
        <f t="shared" si="7"/>
        <v>208.08192424731612</v>
      </c>
      <c r="E115" s="19">
        <f t="shared" si="8"/>
        <v>23625.091924247314</v>
      </c>
      <c r="F115" s="19">
        <f t="shared" si="9"/>
        <v>2083.3333333333335</v>
      </c>
      <c r="G115" s="20">
        <f t="shared" si="10"/>
        <v>2291.4152575806497</v>
      </c>
      <c r="H115" s="20">
        <v>0</v>
      </c>
      <c r="I115" s="20">
        <f t="shared" si="11"/>
        <v>2291.4152575806497</v>
      </c>
      <c r="J115" s="20">
        <f t="shared" si="12"/>
        <v>21333.68</v>
      </c>
      <c r="K115" s="18"/>
    </row>
    <row r="116" spans="1:11" x14ac:dyDescent="0.25">
      <c r="A116" s="25">
        <v>105</v>
      </c>
      <c r="B116" s="26">
        <v>47727</v>
      </c>
      <c r="C116" s="20">
        <f t="shared" si="13"/>
        <v>21333.68</v>
      </c>
      <c r="D116" s="27">
        <f t="shared" si="7"/>
        <v>189.56959858139373</v>
      </c>
      <c r="E116" s="19">
        <f t="shared" si="8"/>
        <v>21523.249598581395</v>
      </c>
      <c r="F116" s="19">
        <f t="shared" si="9"/>
        <v>2083.3333333333335</v>
      </c>
      <c r="G116" s="20">
        <f t="shared" si="10"/>
        <v>2272.9029319147271</v>
      </c>
      <c r="H116" s="20">
        <v>0</v>
      </c>
      <c r="I116" s="20">
        <f t="shared" si="11"/>
        <v>2272.9029319147271</v>
      </c>
      <c r="J116" s="20">
        <f t="shared" si="12"/>
        <v>19250.349999999999</v>
      </c>
      <c r="K116" s="18"/>
    </row>
    <row r="117" spans="1:11" x14ac:dyDescent="0.25">
      <c r="A117" s="25">
        <v>106</v>
      </c>
      <c r="B117" s="26">
        <v>47757</v>
      </c>
      <c r="C117" s="20">
        <f t="shared" si="13"/>
        <v>19250.349999999999</v>
      </c>
      <c r="D117" s="27">
        <f t="shared" si="7"/>
        <v>171.05727291547134</v>
      </c>
      <c r="E117" s="19">
        <f t="shared" si="8"/>
        <v>19421.407272915469</v>
      </c>
      <c r="F117" s="19">
        <f t="shared" si="9"/>
        <v>2083.3333333333335</v>
      </c>
      <c r="G117" s="20">
        <f t="shared" si="10"/>
        <v>2254.3906062488049</v>
      </c>
      <c r="H117" s="20">
        <v>0</v>
      </c>
      <c r="I117" s="20">
        <f t="shared" si="11"/>
        <v>2254.3906062488049</v>
      </c>
      <c r="J117" s="20">
        <f t="shared" si="12"/>
        <v>17167.02</v>
      </c>
      <c r="K117" s="18"/>
    </row>
    <row r="118" spans="1:11" x14ac:dyDescent="0.25">
      <c r="A118" s="25">
        <v>107</v>
      </c>
      <c r="B118" s="26">
        <v>47788</v>
      </c>
      <c r="C118" s="20">
        <f t="shared" si="13"/>
        <v>17167.02</v>
      </c>
      <c r="D118" s="27">
        <f t="shared" si="7"/>
        <v>152.54494724954898</v>
      </c>
      <c r="E118" s="19">
        <f t="shared" si="8"/>
        <v>17319.56494724955</v>
      </c>
      <c r="F118" s="19">
        <f t="shared" si="9"/>
        <v>2083.3333333333335</v>
      </c>
      <c r="G118" s="20">
        <f t="shared" si="10"/>
        <v>2235.8782805828823</v>
      </c>
      <c r="H118" s="20">
        <v>0</v>
      </c>
      <c r="I118" s="20">
        <f t="shared" si="11"/>
        <v>2235.8782805828823</v>
      </c>
      <c r="J118" s="20">
        <f t="shared" si="12"/>
        <v>15083.69</v>
      </c>
      <c r="K118" s="18"/>
    </row>
    <row r="119" spans="1:11" x14ac:dyDescent="0.25">
      <c r="A119" s="25">
        <v>108</v>
      </c>
      <c r="B119" s="26">
        <v>47818</v>
      </c>
      <c r="C119" s="20">
        <f t="shared" si="13"/>
        <v>15083.69</v>
      </c>
      <c r="D119" s="27">
        <f t="shared" si="7"/>
        <v>134.03262158362659</v>
      </c>
      <c r="E119" s="19">
        <f t="shared" si="8"/>
        <v>15217.722621583627</v>
      </c>
      <c r="F119" s="19">
        <f t="shared" si="9"/>
        <v>2083.3333333333335</v>
      </c>
      <c r="G119" s="20">
        <f t="shared" si="10"/>
        <v>2217.3659549169602</v>
      </c>
      <c r="H119" s="20">
        <v>0</v>
      </c>
      <c r="I119" s="20">
        <f t="shared" si="11"/>
        <v>2217.3659549169602</v>
      </c>
      <c r="J119" s="20">
        <f t="shared" si="12"/>
        <v>13000.36</v>
      </c>
      <c r="K119" s="18"/>
    </row>
    <row r="120" spans="1:11" x14ac:dyDescent="0.25">
      <c r="A120" s="25">
        <v>109</v>
      </c>
      <c r="B120" s="26">
        <v>47849</v>
      </c>
      <c r="C120" s="20">
        <f t="shared" si="13"/>
        <v>13000.36</v>
      </c>
      <c r="D120" s="27">
        <f t="shared" si="7"/>
        <v>115.52029591770422</v>
      </c>
      <c r="E120" s="19">
        <f t="shared" si="8"/>
        <v>13115.880295917705</v>
      </c>
      <c r="F120" s="19">
        <f t="shared" si="9"/>
        <v>2083.3333333333335</v>
      </c>
      <c r="G120" s="20">
        <f t="shared" si="10"/>
        <v>2198.8536292510375</v>
      </c>
      <c r="H120" s="20">
        <v>0</v>
      </c>
      <c r="I120" s="20">
        <f t="shared" si="11"/>
        <v>2198.8536292510375</v>
      </c>
      <c r="J120" s="20">
        <f t="shared" si="12"/>
        <v>10917.03</v>
      </c>
      <c r="K120" s="18"/>
    </row>
    <row r="121" spans="1:11" x14ac:dyDescent="0.25">
      <c r="A121" s="25">
        <v>110</v>
      </c>
      <c r="B121" s="26">
        <v>47880</v>
      </c>
      <c r="C121" s="20">
        <f t="shared" si="13"/>
        <v>10917.03</v>
      </c>
      <c r="D121" s="27">
        <f t="shared" si="7"/>
        <v>97.007970251781828</v>
      </c>
      <c r="E121" s="19">
        <f t="shared" si="8"/>
        <v>11014.037970251782</v>
      </c>
      <c r="F121" s="19">
        <f t="shared" si="9"/>
        <v>2083.3333333333335</v>
      </c>
      <c r="G121" s="20">
        <f t="shared" si="10"/>
        <v>2180.3413035851154</v>
      </c>
      <c r="H121" s="20">
        <v>0</v>
      </c>
      <c r="I121" s="20">
        <f t="shared" si="11"/>
        <v>2180.3413035851154</v>
      </c>
      <c r="J121" s="20">
        <f t="shared" si="12"/>
        <v>8833.7000000000007</v>
      </c>
      <c r="K121" s="18"/>
    </row>
    <row r="122" spans="1:11" x14ac:dyDescent="0.25">
      <c r="A122" s="25">
        <v>111</v>
      </c>
      <c r="B122" s="26">
        <v>47908</v>
      </c>
      <c r="C122" s="20">
        <f t="shared" si="13"/>
        <v>8833.7000000000007</v>
      </c>
      <c r="D122" s="27">
        <f t="shared" si="7"/>
        <v>78.495644585859452</v>
      </c>
      <c r="E122" s="19">
        <f t="shared" si="8"/>
        <v>8912.1956445858596</v>
      </c>
      <c r="F122" s="19">
        <f t="shared" si="9"/>
        <v>2083.3333333333335</v>
      </c>
      <c r="G122" s="20">
        <f t="shared" si="10"/>
        <v>2161.8289779191928</v>
      </c>
      <c r="H122" s="20">
        <v>0</v>
      </c>
      <c r="I122" s="20">
        <f t="shared" si="11"/>
        <v>2161.8289779191928</v>
      </c>
      <c r="J122" s="20">
        <f t="shared" si="12"/>
        <v>6750.37</v>
      </c>
      <c r="K122" s="18"/>
    </row>
    <row r="123" spans="1:11" x14ac:dyDescent="0.25">
      <c r="A123" s="25">
        <v>112</v>
      </c>
      <c r="B123" s="26">
        <v>47939</v>
      </c>
      <c r="C123" s="20">
        <f t="shared" si="13"/>
        <v>6750.37</v>
      </c>
      <c r="D123" s="27">
        <f t="shared" si="7"/>
        <v>59.983318919937062</v>
      </c>
      <c r="E123" s="19">
        <f t="shared" si="8"/>
        <v>6810.353318919937</v>
      </c>
      <c r="F123" s="19">
        <f t="shared" si="9"/>
        <v>2083.3333333333335</v>
      </c>
      <c r="G123" s="20">
        <f t="shared" si="10"/>
        <v>2143.3166522532706</v>
      </c>
      <c r="H123" s="20">
        <v>0</v>
      </c>
      <c r="I123" s="20">
        <f t="shared" si="11"/>
        <v>2143.3166522532706</v>
      </c>
      <c r="J123" s="20">
        <f t="shared" si="12"/>
        <v>4667.04</v>
      </c>
      <c r="K123" s="18"/>
    </row>
    <row r="124" spans="1:11" x14ac:dyDescent="0.25">
      <c r="A124" s="25">
        <v>113</v>
      </c>
      <c r="B124" s="26">
        <v>47969</v>
      </c>
      <c r="C124" s="20">
        <f t="shared" si="13"/>
        <v>4667.04</v>
      </c>
      <c r="D124" s="27">
        <f t="shared" si="7"/>
        <v>41.47099325401468</v>
      </c>
      <c r="E124" s="19">
        <f t="shared" si="8"/>
        <v>4708.5109932540145</v>
      </c>
      <c r="F124" s="19">
        <f t="shared" si="9"/>
        <v>2083.3333333333335</v>
      </c>
      <c r="G124" s="20">
        <f t="shared" si="10"/>
        <v>2124.804326587348</v>
      </c>
      <c r="H124" s="20">
        <v>0</v>
      </c>
      <c r="I124" s="20">
        <f t="shared" si="11"/>
        <v>2124.804326587348</v>
      </c>
      <c r="J124" s="20">
        <f t="shared" si="12"/>
        <v>2583.71</v>
      </c>
      <c r="K124" s="18"/>
    </row>
    <row r="125" spans="1:11" x14ac:dyDescent="0.25">
      <c r="A125" s="25">
        <v>114</v>
      </c>
      <c r="B125" s="26">
        <v>48000</v>
      </c>
      <c r="C125" s="20">
        <f t="shared" si="13"/>
        <v>2583.71</v>
      </c>
      <c r="D125" s="27">
        <f t="shared" si="7"/>
        <v>22.958667588092297</v>
      </c>
      <c r="E125" s="19">
        <f t="shared" si="8"/>
        <v>2606.6686675880924</v>
      </c>
      <c r="F125" s="19">
        <f t="shared" si="9"/>
        <v>2083.3333333333335</v>
      </c>
      <c r="G125" s="20">
        <f t="shared" si="10"/>
        <v>2106.2920009214258</v>
      </c>
      <c r="H125" s="20">
        <v>0</v>
      </c>
      <c r="I125" s="20">
        <f t="shared" si="11"/>
        <v>2106.2920009214258</v>
      </c>
      <c r="J125" s="20">
        <f t="shared" si="12"/>
        <v>500.38</v>
      </c>
      <c r="K125" s="18"/>
    </row>
    <row r="126" spans="1:11" x14ac:dyDescent="0.25">
      <c r="A126" s="25">
        <v>115</v>
      </c>
      <c r="B126" s="26">
        <v>48030</v>
      </c>
      <c r="C126" s="20">
        <f t="shared" si="13"/>
        <v>500.38</v>
      </c>
      <c r="D126" s="27">
        <f t="shared" si="7"/>
        <v>4.4463419221699114</v>
      </c>
      <c r="E126" s="19">
        <f t="shared" si="8"/>
        <v>504.82634192216989</v>
      </c>
      <c r="F126" s="19">
        <f t="shared" si="9"/>
        <v>2083.3333333333335</v>
      </c>
      <c r="G126" s="20">
        <f t="shared" si="10"/>
        <v>2087.7796752555032</v>
      </c>
      <c r="H126" s="20">
        <v>0</v>
      </c>
      <c r="I126" s="20">
        <f t="shared" si="11"/>
        <v>2087.7796752555032</v>
      </c>
      <c r="J126" s="20">
        <f t="shared" si="12"/>
        <v>0</v>
      </c>
      <c r="K126" s="18"/>
    </row>
    <row r="127" spans="1:11" x14ac:dyDescent="0.25">
      <c r="A127" s="25">
        <v>116</v>
      </c>
      <c r="B127" s="26">
        <v>48061</v>
      </c>
      <c r="C127" s="20">
        <f t="shared" si="13"/>
        <v>0</v>
      </c>
      <c r="D127" s="27">
        <f t="shared" si="7"/>
        <v>0</v>
      </c>
      <c r="E127" s="19">
        <f t="shared" si="8"/>
        <v>0</v>
      </c>
      <c r="F127" s="19">
        <f t="shared" si="9"/>
        <v>0</v>
      </c>
      <c r="G127" s="20">
        <f t="shared" si="10"/>
        <v>0</v>
      </c>
      <c r="H127" s="20">
        <v>0</v>
      </c>
      <c r="I127" s="20">
        <f t="shared" si="11"/>
        <v>0</v>
      </c>
      <c r="J127" s="20">
        <f t="shared" si="12"/>
        <v>0</v>
      </c>
      <c r="K127" s="18"/>
    </row>
    <row r="128" spans="1:11" x14ac:dyDescent="0.25">
      <c r="A128" s="25">
        <v>117</v>
      </c>
      <c r="B128" s="26">
        <v>48092</v>
      </c>
      <c r="C128" s="20">
        <f t="shared" si="13"/>
        <v>0</v>
      </c>
      <c r="D128" s="27">
        <f t="shared" si="7"/>
        <v>0</v>
      </c>
      <c r="E128" s="19">
        <f t="shared" si="8"/>
        <v>0</v>
      </c>
      <c r="F128" s="19">
        <f t="shared" si="9"/>
        <v>0</v>
      </c>
      <c r="G128" s="20">
        <f t="shared" si="10"/>
        <v>0</v>
      </c>
      <c r="H128" s="20">
        <v>0</v>
      </c>
      <c r="I128" s="20">
        <f t="shared" si="11"/>
        <v>0</v>
      </c>
      <c r="J128" s="20">
        <f t="shared" si="12"/>
        <v>0</v>
      </c>
      <c r="K128" s="18"/>
    </row>
    <row r="129" spans="1:11" x14ac:dyDescent="0.25">
      <c r="A129" s="25">
        <v>118</v>
      </c>
      <c r="B129" s="26">
        <v>48122</v>
      </c>
      <c r="C129" s="20">
        <f t="shared" si="13"/>
        <v>0</v>
      </c>
      <c r="D129" s="27">
        <f t="shared" si="7"/>
        <v>0</v>
      </c>
      <c r="E129" s="19">
        <f t="shared" si="8"/>
        <v>0</v>
      </c>
      <c r="F129" s="19">
        <f t="shared" si="9"/>
        <v>0</v>
      </c>
      <c r="G129" s="20">
        <f t="shared" si="10"/>
        <v>0</v>
      </c>
      <c r="H129" s="20">
        <v>0</v>
      </c>
      <c r="I129" s="20">
        <f t="shared" si="11"/>
        <v>0</v>
      </c>
      <c r="J129" s="20">
        <f t="shared" si="12"/>
        <v>0</v>
      </c>
      <c r="K129" s="18"/>
    </row>
    <row r="130" spans="1:11" x14ac:dyDescent="0.25">
      <c r="A130" s="25">
        <v>119</v>
      </c>
      <c r="B130" s="26">
        <v>48153</v>
      </c>
      <c r="C130" s="20">
        <f t="shared" si="13"/>
        <v>0</v>
      </c>
      <c r="D130" s="27">
        <f t="shared" si="7"/>
        <v>0</v>
      </c>
      <c r="E130" s="19">
        <f t="shared" si="8"/>
        <v>0</v>
      </c>
      <c r="F130" s="19">
        <f t="shared" si="9"/>
        <v>0</v>
      </c>
      <c r="G130" s="20">
        <f t="shared" si="10"/>
        <v>0</v>
      </c>
      <c r="H130" s="20">
        <v>0</v>
      </c>
      <c r="I130" s="20">
        <f t="shared" si="11"/>
        <v>0</v>
      </c>
      <c r="J130" s="20">
        <f t="shared" si="12"/>
        <v>0</v>
      </c>
      <c r="K130" s="18"/>
    </row>
    <row r="131" spans="1:11" x14ac:dyDescent="0.25">
      <c r="A131" s="25">
        <v>120</v>
      </c>
      <c r="B131" s="26">
        <v>48183</v>
      </c>
      <c r="C131" s="20">
        <f t="shared" si="13"/>
        <v>0</v>
      </c>
      <c r="D131" s="27">
        <f t="shared" si="7"/>
        <v>0</v>
      </c>
      <c r="E131" s="19">
        <f t="shared" si="8"/>
        <v>0</v>
      </c>
      <c r="F131" s="19">
        <f t="shared" si="9"/>
        <v>0</v>
      </c>
      <c r="G131" s="20">
        <f t="shared" si="10"/>
        <v>0</v>
      </c>
      <c r="H131" s="20">
        <v>0</v>
      </c>
      <c r="I131" s="20">
        <f t="shared" si="11"/>
        <v>0</v>
      </c>
      <c r="J131" s="20">
        <f t="shared" si="12"/>
        <v>0</v>
      </c>
      <c r="K131" s="18"/>
    </row>
    <row r="132" spans="1:11" x14ac:dyDescent="0.25">
      <c r="A132" s="25">
        <v>121</v>
      </c>
      <c r="B132" s="26">
        <v>48214</v>
      </c>
      <c r="C132" s="20">
        <f t="shared" si="13"/>
        <v>0</v>
      </c>
      <c r="D132" s="27">
        <f t="shared" si="7"/>
        <v>0</v>
      </c>
      <c r="E132" s="19">
        <f t="shared" si="8"/>
        <v>0</v>
      </c>
      <c r="F132" s="19">
        <f t="shared" si="9"/>
        <v>0</v>
      </c>
      <c r="G132" s="20">
        <f t="shared" si="10"/>
        <v>0</v>
      </c>
      <c r="H132" s="20">
        <v>0</v>
      </c>
      <c r="I132" s="20">
        <f t="shared" si="11"/>
        <v>0</v>
      </c>
      <c r="J132" s="20">
        <f t="shared" si="12"/>
        <v>0</v>
      </c>
      <c r="K132" s="18"/>
    </row>
    <row r="133" spans="1:11" x14ac:dyDescent="0.25">
      <c r="A133" s="25">
        <v>122</v>
      </c>
      <c r="B133" s="26">
        <v>48245</v>
      </c>
      <c r="C133" s="20">
        <f t="shared" si="13"/>
        <v>0</v>
      </c>
      <c r="D133" s="27">
        <f t="shared" si="7"/>
        <v>0</v>
      </c>
      <c r="E133" s="19">
        <f t="shared" si="8"/>
        <v>0</v>
      </c>
      <c r="F133" s="19">
        <f t="shared" si="9"/>
        <v>0</v>
      </c>
      <c r="G133" s="20">
        <f t="shared" si="10"/>
        <v>0</v>
      </c>
      <c r="H133" s="20">
        <v>0</v>
      </c>
      <c r="I133" s="20">
        <f t="shared" si="11"/>
        <v>0</v>
      </c>
      <c r="J133" s="20">
        <f t="shared" si="12"/>
        <v>0</v>
      </c>
      <c r="K133" s="18"/>
    </row>
    <row r="134" spans="1:11" x14ac:dyDescent="0.25">
      <c r="A134" s="25">
        <v>123</v>
      </c>
      <c r="B134" s="26">
        <v>48274</v>
      </c>
      <c r="C134" s="20">
        <f t="shared" si="13"/>
        <v>0</v>
      </c>
      <c r="D134" s="27">
        <f t="shared" si="7"/>
        <v>0</v>
      </c>
      <c r="E134" s="19">
        <f t="shared" si="8"/>
        <v>0</v>
      </c>
      <c r="F134" s="19">
        <f t="shared" si="9"/>
        <v>0</v>
      </c>
      <c r="G134" s="20">
        <f t="shared" si="10"/>
        <v>0</v>
      </c>
      <c r="H134" s="20">
        <v>0</v>
      </c>
      <c r="I134" s="20">
        <f t="shared" si="11"/>
        <v>0</v>
      </c>
      <c r="J134" s="20">
        <f t="shared" si="12"/>
        <v>0</v>
      </c>
      <c r="K134" s="18"/>
    </row>
    <row r="135" spans="1:11" x14ac:dyDescent="0.25">
      <c r="A135" s="25">
        <v>124</v>
      </c>
      <c r="B135" s="26">
        <v>48305</v>
      </c>
      <c r="C135" s="20">
        <f t="shared" si="13"/>
        <v>0</v>
      </c>
      <c r="D135" s="27">
        <f t="shared" si="7"/>
        <v>0</v>
      </c>
      <c r="E135" s="19">
        <f t="shared" si="8"/>
        <v>0</v>
      </c>
      <c r="F135" s="19">
        <f t="shared" si="9"/>
        <v>0</v>
      </c>
      <c r="G135" s="20">
        <f t="shared" si="10"/>
        <v>0</v>
      </c>
      <c r="H135" s="20">
        <v>0</v>
      </c>
      <c r="I135" s="20">
        <f t="shared" si="11"/>
        <v>0</v>
      </c>
      <c r="J135" s="20">
        <f t="shared" si="12"/>
        <v>0</v>
      </c>
      <c r="K135" s="18"/>
    </row>
    <row r="136" spans="1:11" x14ac:dyDescent="0.25">
      <c r="A136" s="25">
        <v>125</v>
      </c>
      <c r="B136" s="26">
        <v>48335</v>
      </c>
      <c r="C136" s="20">
        <f t="shared" si="13"/>
        <v>0</v>
      </c>
      <c r="D136" s="27">
        <f t="shared" si="7"/>
        <v>0</v>
      </c>
      <c r="E136" s="19">
        <f t="shared" si="8"/>
        <v>0</v>
      </c>
      <c r="F136" s="19">
        <f t="shared" si="9"/>
        <v>0</v>
      </c>
      <c r="G136" s="20">
        <f t="shared" si="10"/>
        <v>0</v>
      </c>
      <c r="H136" s="20">
        <v>0</v>
      </c>
      <c r="I136" s="20">
        <f t="shared" si="11"/>
        <v>0</v>
      </c>
      <c r="J136" s="20">
        <f t="shared" si="12"/>
        <v>0</v>
      </c>
      <c r="K136" s="18"/>
    </row>
    <row r="137" spans="1:11" x14ac:dyDescent="0.25">
      <c r="A137" s="25">
        <v>126</v>
      </c>
      <c r="B137" s="26">
        <v>48366</v>
      </c>
      <c r="C137" s="20">
        <f t="shared" si="13"/>
        <v>0</v>
      </c>
      <c r="D137" s="27">
        <f t="shared" si="7"/>
        <v>0</v>
      </c>
      <c r="E137" s="19">
        <f t="shared" si="8"/>
        <v>0</v>
      </c>
      <c r="F137" s="19">
        <f t="shared" si="9"/>
        <v>0</v>
      </c>
      <c r="G137" s="20">
        <f t="shared" si="10"/>
        <v>0</v>
      </c>
      <c r="H137" s="20">
        <v>0</v>
      </c>
      <c r="I137" s="20">
        <f t="shared" si="11"/>
        <v>0</v>
      </c>
      <c r="J137" s="20">
        <f t="shared" si="12"/>
        <v>0</v>
      </c>
      <c r="K137" s="18"/>
    </row>
    <row r="138" spans="1:11" x14ac:dyDescent="0.25">
      <c r="A138" s="25">
        <v>127</v>
      </c>
      <c r="B138" s="26">
        <v>48396</v>
      </c>
      <c r="C138" s="20">
        <f t="shared" si="13"/>
        <v>0</v>
      </c>
      <c r="D138" s="27">
        <f t="shared" si="7"/>
        <v>0</v>
      </c>
      <c r="E138" s="19">
        <f t="shared" si="8"/>
        <v>0</v>
      </c>
      <c r="F138" s="19">
        <f t="shared" si="9"/>
        <v>0</v>
      </c>
      <c r="G138" s="20">
        <f t="shared" si="10"/>
        <v>0</v>
      </c>
      <c r="H138" s="20">
        <v>0</v>
      </c>
      <c r="I138" s="20">
        <f t="shared" si="11"/>
        <v>0</v>
      </c>
      <c r="J138" s="20">
        <f t="shared" si="12"/>
        <v>0</v>
      </c>
      <c r="K138" s="18"/>
    </row>
    <row r="139" spans="1:11" x14ac:dyDescent="0.25">
      <c r="A139" s="25">
        <v>128</v>
      </c>
      <c r="B139" s="26">
        <v>48427</v>
      </c>
      <c r="C139" s="20">
        <f t="shared" si="13"/>
        <v>0</v>
      </c>
      <c r="D139" s="27">
        <f t="shared" si="7"/>
        <v>0</v>
      </c>
      <c r="E139" s="19">
        <f t="shared" si="8"/>
        <v>0</v>
      </c>
      <c r="F139" s="19">
        <f t="shared" si="9"/>
        <v>0</v>
      </c>
      <c r="G139" s="20">
        <f t="shared" si="10"/>
        <v>0</v>
      </c>
      <c r="H139" s="20">
        <v>0</v>
      </c>
      <c r="I139" s="20">
        <f t="shared" si="11"/>
        <v>0</v>
      </c>
      <c r="J139" s="20">
        <f t="shared" si="12"/>
        <v>0</v>
      </c>
      <c r="K139" s="18"/>
    </row>
    <row r="140" spans="1:11" x14ac:dyDescent="0.25">
      <c r="A140" s="25">
        <v>129</v>
      </c>
      <c r="B140" s="26">
        <v>48458</v>
      </c>
      <c r="C140" s="20">
        <f t="shared" si="13"/>
        <v>0</v>
      </c>
      <c r="D140" s="27">
        <f t="shared" si="7"/>
        <v>0</v>
      </c>
      <c r="E140" s="19">
        <f t="shared" si="8"/>
        <v>0</v>
      </c>
      <c r="F140" s="19">
        <f t="shared" si="9"/>
        <v>0</v>
      </c>
      <c r="G140" s="20">
        <f t="shared" si="10"/>
        <v>0</v>
      </c>
      <c r="H140" s="20">
        <v>0</v>
      </c>
      <c r="I140" s="20">
        <f t="shared" si="11"/>
        <v>0</v>
      </c>
      <c r="J140" s="20">
        <f t="shared" si="12"/>
        <v>0</v>
      </c>
      <c r="K140" s="18"/>
    </row>
    <row r="141" spans="1:11" x14ac:dyDescent="0.25">
      <c r="A141" s="25">
        <v>130</v>
      </c>
      <c r="B141" s="26">
        <v>48488</v>
      </c>
      <c r="C141" s="20">
        <f t="shared" si="13"/>
        <v>0</v>
      </c>
      <c r="D141" s="27">
        <f t="shared" ref="D141:D204" si="14">C141*$C$6</f>
        <v>0</v>
      </c>
      <c r="E141" s="19">
        <f t="shared" ref="E141:E204" si="15">C141+D141</f>
        <v>0</v>
      </c>
      <c r="F141" s="19">
        <f t="shared" ref="F141:F204" si="16">IF(C141&gt;0,$C$4/$C$8,0)</f>
        <v>0</v>
      </c>
      <c r="G141" s="20">
        <f t="shared" ref="G141:G204" si="17">IF(C141&gt;0,F141+D141,0)</f>
        <v>0</v>
      </c>
      <c r="H141" s="20">
        <v>0</v>
      </c>
      <c r="I141" s="20">
        <f t="shared" ref="I141:I204" si="18">IF(C141&gt;0,H141+G141,0)</f>
        <v>0</v>
      </c>
      <c r="J141" s="20">
        <f t="shared" ref="J141:J204" si="19">IF(E141-I141&gt;0,ROUND(E141-I141,2),0)</f>
        <v>0</v>
      </c>
      <c r="K141" s="18"/>
    </row>
    <row r="142" spans="1:11" x14ac:dyDescent="0.25">
      <c r="A142" s="25">
        <v>131</v>
      </c>
      <c r="B142" s="26">
        <v>48519</v>
      </c>
      <c r="C142" s="20">
        <f t="shared" ref="C142:C205" si="20">IF(J141&gt;0,J141,0)</f>
        <v>0</v>
      </c>
      <c r="D142" s="27">
        <f t="shared" si="14"/>
        <v>0</v>
      </c>
      <c r="E142" s="19">
        <f t="shared" si="15"/>
        <v>0</v>
      </c>
      <c r="F142" s="19">
        <f t="shared" si="16"/>
        <v>0</v>
      </c>
      <c r="G142" s="20">
        <f t="shared" si="17"/>
        <v>0</v>
      </c>
      <c r="H142" s="20">
        <v>0</v>
      </c>
      <c r="I142" s="20">
        <f t="shared" si="18"/>
        <v>0</v>
      </c>
      <c r="J142" s="20">
        <f t="shared" si="19"/>
        <v>0</v>
      </c>
      <c r="K142" s="18"/>
    </row>
    <row r="143" spans="1:11" x14ac:dyDescent="0.25">
      <c r="A143" s="25">
        <v>132</v>
      </c>
      <c r="B143" s="26">
        <v>48549</v>
      </c>
      <c r="C143" s="20">
        <f t="shared" si="20"/>
        <v>0</v>
      </c>
      <c r="D143" s="27">
        <f t="shared" si="14"/>
        <v>0</v>
      </c>
      <c r="E143" s="19">
        <f t="shared" si="15"/>
        <v>0</v>
      </c>
      <c r="F143" s="19">
        <f t="shared" si="16"/>
        <v>0</v>
      </c>
      <c r="G143" s="20">
        <f t="shared" si="17"/>
        <v>0</v>
      </c>
      <c r="H143" s="20">
        <v>0</v>
      </c>
      <c r="I143" s="20">
        <f t="shared" si="18"/>
        <v>0</v>
      </c>
      <c r="J143" s="20">
        <f t="shared" si="19"/>
        <v>0</v>
      </c>
      <c r="K143" s="18"/>
    </row>
    <row r="144" spans="1:11" x14ac:dyDescent="0.25">
      <c r="A144" s="25">
        <v>133</v>
      </c>
      <c r="B144" s="26">
        <v>48580</v>
      </c>
      <c r="C144" s="20">
        <f t="shared" si="20"/>
        <v>0</v>
      </c>
      <c r="D144" s="27">
        <f t="shared" si="14"/>
        <v>0</v>
      </c>
      <c r="E144" s="19">
        <f t="shared" si="15"/>
        <v>0</v>
      </c>
      <c r="F144" s="19">
        <f t="shared" si="16"/>
        <v>0</v>
      </c>
      <c r="G144" s="20">
        <f t="shared" si="17"/>
        <v>0</v>
      </c>
      <c r="H144" s="20">
        <v>0</v>
      </c>
      <c r="I144" s="20">
        <f t="shared" si="18"/>
        <v>0</v>
      </c>
      <c r="J144" s="20">
        <f t="shared" si="19"/>
        <v>0</v>
      </c>
      <c r="K144" s="18"/>
    </row>
    <row r="145" spans="1:11" x14ac:dyDescent="0.25">
      <c r="A145" s="25">
        <v>134</v>
      </c>
      <c r="B145" s="26">
        <v>48611</v>
      </c>
      <c r="C145" s="20">
        <f t="shared" si="20"/>
        <v>0</v>
      </c>
      <c r="D145" s="27">
        <f t="shared" si="14"/>
        <v>0</v>
      </c>
      <c r="E145" s="19">
        <f t="shared" si="15"/>
        <v>0</v>
      </c>
      <c r="F145" s="19">
        <f t="shared" si="16"/>
        <v>0</v>
      </c>
      <c r="G145" s="20">
        <f t="shared" si="17"/>
        <v>0</v>
      </c>
      <c r="H145" s="20">
        <v>0</v>
      </c>
      <c r="I145" s="20">
        <f t="shared" si="18"/>
        <v>0</v>
      </c>
      <c r="J145" s="20">
        <f t="shared" si="19"/>
        <v>0</v>
      </c>
      <c r="K145" s="18"/>
    </row>
    <row r="146" spans="1:11" x14ac:dyDescent="0.25">
      <c r="A146" s="25">
        <v>135</v>
      </c>
      <c r="B146" s="26">
        <v>48639</v>
      </c>
      <c r="C146" s="20">
        <f t="shared" si="20"/>
        <v>0</v>
      </c>
      <c r="D146" s="27">
        <f t="shared" si="14"/>
        <v>0</v>
      </c>
      <c r="E146" s="19">
        <f t="shared" si="15"/>
        <v>0</v>
      </c>
      <c r="F146" s="19">
        <f t="shared" si="16"/>
        <v>0</v>
      </c>
      <c r="G146" s="20">
        <f t="shared" si="17"/>
        <v>0</v>
      </c>
      <c r="H146" s="20">
        <v>0</v>
      </c>
      <c r="I146" s="20">
        <f t="shared" si="18"/>
        <v>0</v>
      </c>
      <c r="J146" s="20">
        <f t="shared" si="19"/>
        <v>0</v>
      </c>
      <c r="K146" s="18"/>
    </row>
    <row r="147" spans="1:11" x14ac:dyDescent="0.25">
      <c r="A147" s="25">
        <v>136</v>
      </c>
      <c r="B147" s="26">
        <v>48670</v>
      </c>
      <c r="C147" s="20">
        <f t="shared" si="20"/>
        <v>0</v>
      </c>
      <c r="D147" s="27">
        <f t="shared" si="14"/>
        <v>0</v>
      </c>
      <c r="E147" s="19">
        <f t="shared" si="15"/>
        <v>0</v>
      </c>
      <c r="F147" s="19">
        <f t="shared" si="16"/>
        <v>0</v>
      </c>
      <c r="G147" s="20">
        <f t="shared" si="17"/>
        <v>0</v>
      </c>
      <c r="H147" s="20">
        <v>0</v>
      </c>
      <c r="I147" s="20">
        <f t="shared" si="18"/>
        <v>0</v>
      </c>
      <c r="J147" s="20">
        <f t="shared" si="19"/>
        <v>0</v>
      </c>
      <c r="K147" s="18"/>
    </row>
    <row r="148" spans="1:11" x14ac:dyDescent="0.25">
      <c r="A148" s="25">
        <v>137</v>
      </c>
      <c r="B148" s="26">
        <v>48700</v>
      </c>
      <c r="C148" s="20">
        <f t="shared" si="20"/>
        <v>0</v>
      </c>
      <c r="D148" s="27">
        <f t="shared" si="14"/>
        <v>0</v>
      </c>
      <c r="E148" s="19">
        <f t="shared" si="15"/>
        <v>0</v>
      </c>
      <c r="F148" s="19">
        <f t="shared" si="16"/>
        <v>0</v>
      </c>
      <c r="G148" s="20">
        <f t="shared" si="17"/>
        <v>0</v>
      </c>
      <c r="H148" s="20">
        <v>0</v>
      </c>
      <c r="I148" s="20">
        <f t="shared" si="18"/>
        <v>0</v>
      </c>
      <c r="J148" s="20">
        <f t="shared" si="19"/>
        <v>0</v>
      </c>
      <c r="K148" s="18"/>
    </row>
    <row r="149" spans="1:11" x14ac:dyDescent="0.25">
      <c r="A149" s="25">
        <v>138</v>
      </c>
      <c r="B149" s="26">
        <v>48731</v>
      </c>
      <c r="C149" s="20">
        <f t="shared" si="20"/>
        <v>0</v>
      </c>
      <c r="D149" s="27">
        <f t="shared" si="14"/>
        <v>0</v>
      </c>
      <c r="E149" s="19">
        <f t="shared" si="15"/>
        <v>0</v>
      </c>
      <c r="F149" s="19">
        <f t="shared" si="16"/>
        <v>0</v>
      </c>
      <c r="G149" s="20">
        <f t="shared" si="17"/>
        <v>0</v>
      </c>
      <c r="H149" s="20">
        <v>0</v>
      </c>
      <c r="I149" s="20">
        <f t="shared" si="18"/>
        <v>0</v>
      </c>
      <c r="J149" s="20">
        <f t="shared" si="19"/>
        <v>0</v>
      </c>
      <c r="K149" s="18"/>
    </row>
    <row r="150" spans="1:11" x14ac:dyDescent="0.25">
      <c r="A150" s="25">
        <v>139</v>
      </c>
      <c r="B150" s="26">
        <v>48761</v>
      </c>
      <c r="C150" s="20">
        <f t="shared" si="20"/>
        <v>0</v>
      </c>
      <c r="D150" s="27">
        <f t="shared" si="14"/>
        <v>0</v>
      </c>
      <c r="E150" s="19">
        <f t="shared" si="15"/>
        <v>0</v>
      </c>
      <c r="F150" s="19">
        <f t="shared" si="16"/>
        <v>0</v>
      </c>
      <c r="G150" s="20">
        <f t="shared" si="17"/>
        <v>0</v>
      </c>
      <c r="H150" s="20">
        <v>0</v>
      </c>
      <c r="I150" s="20">
        <f t="shared" si="18"/>
        <v>0</v>
      </c>
      <c r="J150" s="20">
        <f t="shared" si="19"/>
        <v>0</v>
      </c>
      <c r="K150" s="18"/>
    </row>
    <row r="151" spans="1:11" x14ac:dyDescent="0.25">
      <c r="A151" s="25">
        <v>140</v>
      </c>
      <c r="B151" s="26">
        <v>48792</v>
      </c>
      <c r="C151" s="20">
        <f t="shared" si="20"/>
        <v>0</v>
      </c>
      <c r="D151" s="27">
        <f t="shared" si="14"/>
        <v>0</v>
      </c>
      <c r="E151" s="19">
        <f t="shared" si="15"/>
        <v>0</v>
      </c>
      <c r="F151" s="19">
        <f t="shared" si="16"/>
        <v>0</v>
      </c>
      <c r="G151" s="20">
        <f t="shared" si="17"/>
        <v>0</v>
      </c>
      <c r="H151" s="20">
        <v>0</v>
      </c>
      <c r="I151" s="20">
        <f t="shared" si="18"/>
        <v>0</v>
      </c>
      <c r="J151" s="20">
        <f t="shared" si="19"/>
        <v>0</v>
      </c>
      <c r="K151" s="18"/>
    </row>
    <row r="152" spans="1:11" x14ac:dyDescent="0.25">
      <c r="A152" s="25">
        <v>141</v>
      </c>
      <c r="B152" s="26">
        <v>48823</v>
      </c>
      <c r="C152" s="20">
        <f t="shared" si="20"/>
        <v>0</v>
      </c>
      <c r="D152" s="27">
        <f t="shared" si="14"/>
        <v>0</v>
      </c>
      <c r="E152" s="19">
        <f t="shared" si="15"/>
        <v>0</v>
      </c>
      <c r="F152" s="19">
        <f t="shared" si="16"/>
        <v>0</v>
      </c>
      <c r="G152" s="20">
        <f t="shared" si="17"/>
        <v>0</v>
      </c>
      <c r="H152" s="20">
        <v>0</v>
      </c>
      <c r="I152" s="20">
        <f t="shared" si="18"/>
        <v>0</v>
      </c>
      <c r="J152" s="20">
        <f t="shared" si="19"/>
        <v>0</v>
      </c>
      <c r="K152" s="18"/>
    </row>
    <row r="153" spans="1:11" x14ac:dyDescent="0.25">
      <c r="A153" s="25">
        <v>142</v>
      </c>
      <c r="B153" s="26">
        <v>48853</v>
      </c>
      <c r="C153" s="20">
        <f t="shared" si="20"/>
        <v>0</v>
      </c>
      <c r="D153" s="27">
        <f t="shared" si="14"/>
        <v>0</v>
      </c>
      <c r="E153" s="19">
        <f t="shared" si="15"/>
        <v>0</v>
      </c>
      <c r="F153" s="19">
        <f t="shared" si="16"/>
        <v>0</v>
      </c>
      <c r="G153" s="20">
        <f t="shared" si="17"/>
        <v>0</v>
      </c>
      <c r="H153" s="20">
        <v>0</v>
      </c>
      <c r="I153" s="20">
        <f t="shared" si="18"/>
        <v>0</v>
      </c>
      <c r="J153" s="20">
        <f t="shared" si="19"/>
        <v>0</v>
      </c>
      <c r="K153" s="18"/>
    </row>
    <row r="154" spans="1:11" x14ac:dyDescent="0.25">
      <c r="A154" s="25">
        <v>143</v>
      </c>
      <c r="B154" s="26">
        <v>48884</v>
      </c>
      <c r="C154" s="20">
        <f t="shared" si="20"/>
        <v>0</v>
      </c>
      <c r="D154" s="27">
        <f t="shared" si="14"/>
        <v>0</v>
      </c>
      <c r="E154" s="19">
        <f t="shared" si="15"/>
        <v>0</v>
      </c>
      <c r="F154" s="19">
        <f t="shared" si="16"/>
        <v>0</v>
      </c>
      <c r="G154" s="20">
        <f t="shared" si="17"/>
        <v>0</v>
      </c>
      <c r="H154" s="20">
        <v>0</v>
      </c>
      <c r="I154" s="20">
        <f t="shared" si="18"/>
        <v>0</v>
      </c>
      <c r="J154" s="20">
        <f t="shared" si="19"/>
        <v>0</v>
      </c>
      <c r="K154" s="18"/>
    </row>
    <row r="155" spans="1:11" x14ac:dyDescent="0.25">
      <c r="A155" s="25">
        <v>144</v>
      </c>
      <c r="B155" s="26">
        <v>48914</v>
      </c>
      <c r="C155" s="20">
        <f t="shared" si="20"/>
        <v>0</v>
      </c>
      <c r="D155" s="27">
        <f t="shared" si="14"/>
        <v>0</v>
      </c>
      <c r="E155" s="19">
        <f t="shared" si="15"/>
        <v>0</v>
      </c>
      <c r="F155" s="19">
        <f t="shared" si="16"/>
        <v>0</v>
      </c>
      <c r="G155" s="20">
        <f t="shared" si="17"/>
        <v>0</v>
      </c>
      <c r="H155" s="20">
        <v>0</v>
      </c>
      <c r="I155" s="20">
        <f t="shared" si="18"/>
        <v>0</v>
      </c>
      <c r="J155" s="20">
        <f t="shared" si="19"/>
        <v>0</v>
      </c>
      <c r="K155" s="18"/>
    </row>
    <row r="156" spans="1:11" x14ac:dyDescent="0.25">
      <c r="A156" s="25">
        <v>145</v>
      </c>
      <c r="B156" s="26">
        <v>48945</v>
      </c>
      <c r="C156" s="20">
        <f t="shared" si="20"/>
        <v>0</v>
      </c>
      <c r="D156" s="27">
        <f t="shared" si="14"/>
        <v>0</v>
      </c>
      <c r="E156" s="19">
        <f t="shared" si="15"/>
        <v>0</v>
      </c>
      <c r="F156" s="19">
        <f t="shared" si="16"/>
        <v>0</v>
      </c>
      <c r="G156" s="20">
        <f t="shared" si="17"/>
        <v>0</v>
      </c>
      <c r="H156" s="20">
        <v>0</v>
      </c>
      <c r="I156" s="20">
        <f t="shared" si="18"/>
        <v>0</v>
      </c>
      <c r="J156" s="20">
        <f t="shared" si="19"/>
        <v>0</v>
      </c>
      <c r="K156" s="18"/>
    </row>
    <row r="157" spans="1:11" x14ac:dyDescent="0.25">
      <c r="A157" s="25">
        <v>146</v>
      </c>
      <c r="B157" s="26">
        <v>48976</v>
      </c>
      <c r="C157" s="20">
        <f t="shared" si="20"/>
        <v>0</v>
      </c>
      <c r="D157" s="27">
        <f t="shared" si="14"/>
        <v>0</v>
      </c>
      <c r="E157" s="19">
        <f t="shared" si="15"/>
        <v>0</v>
      </c>
      <c r="F157" s="19">
        <f t="shared" si="16"/>
        <v>0</v>
      </c>
      <c r="G157" s="20">
        <f t="shared" si="17"/>
        <v>0</v>
      </c>
      <c r="H157" s="20">
        <v>0</v>
      </c>
      <c r="I157" s="20">
        <f t="shared" si="18"/>
        <v>0</v>
      </c>
      <c r="J157" s="20">
        <f t="shared" si="19"/>
        <v>0</v>
      </c>
      <c r="K157" s="18"/>
    </row>
    <row r="158" spans="1:11" x14ac:dyDescent="0.25">
      <c r="A158" s="25">
        <v>147</v>
      </c>
      <c r="B158" s="26">
        <v>49004</v>
      </c>
      <c r="C158" s="20">
        <f t="shared" si="20"/>
        <v>0</v>
      </c>
      <c r="D158" s="27">
        <f t="shared" si="14"/>
        <v>0</v>
      </c>
      <c r="E158" s="19">
        <f t="shared" si="15"/>
        <v>0</v>
      </c>
      <c r="F158" s="19">
        <f t="shared" si="16"/>
        <v>0</v>
      </c>
      <c r="G158" s="20">
        <f t="shared" si="17"/>
        <v>0</v>
      </c>
      <c r="H158" s="20">
        <v>0</v>
      </c>
      <c r="I158" s="20">
        <f t="shared" si="18"/>
        <v>0</v>
      </c>
      <c r="J158" s="20">
        <f t="shared" si="19"/>
        <v>0</v>
      </c>
      <c r="K158" s="18"/>
    </row>
    <row r="159" spans="1:11" x14ac:dyDescent="0.25">
      <c r="A159" s="25">
        <v>148</v>
      </c>
      <c r="B159" s="26">
        <v>49035</v>
      </c>
      <c r="C159" s="20">
        <f t="shared" si="20"/>
        <v>0</v>
      </c>
      <c r="D159" s="27">
        <f t="shared" si="14"/>
        <v>0</v>
      </c>
      <c r="E159" s="19">
        <f t="shared" si="15"/>
        <v>0</v>
      </c>
      <c r="F159" s="19">
        <f t="shared" si="16"/>
        <v>0</v>
      </c>
      <c r="G159" s="20">
        <f t="shared" si="17"/>
        <v>0</v>
      </c>
      <c r="H159" s="20">
        <v>0</v>
      </c>
      <c r="I159" s="20">
        <f t="shared" si="18"/>
        <v>0</v>
      </c>
      <c r="J159" s="20">
        <f t="shared" si="19"/>
        <v>0</v>
      </c>
      <c r="K159" s="18"/>
    </row>
    <row r="160" spans="1:11" x14ac:dyDescent="0.25">
      <c r="A160" s="25">
        <v>149</v>
      </c>
      <c r="B160" s="26">
        <v>49065</v>
      </c>
      <c r="C160" s="20">
        <f t="shared" si="20"/>
        <v>0</v>
      </c>
      <c r="D160" s="27">
        <f t="shared" si="14"/>
        <v>0</v>
      </c>
      <c r="E160" s="19">
        <f t="shared" si="15"/>
        <v>0</v>
      </c>
      <c r="F160" s="19">
        <f t="shared" si="16"/>
        <v>0</v>
      </c>
      <c r="G160" s="20">
        <f t="shared" si="17"/>
        <v>0</v>
      </c>
      <c r="H160" s="20">
        <v>0</v>
      </c>
      <c r="I160" s="20">
        <f t="shared" si="18"/>
        <v>0</v>
      </c>
      <c r="J160" s="20">
        <f t="shared" si="19"/>
        <v>0</v>
      </c>
      <c r="K160" s="18"/>
    </row>
    <row r="161" spans="1:11" x14ac:dyDescent="0.25">
      <c r="A161" s="25">
        <v>150</v>
      </c>
      <c r="B161" s="26">
        <v>49096</v>
      </c>
      <c r="C161" s="20">
        <f t="shared" si="20"/>
        <v>0</v>
      </c>
      <c r="D161" s="27">
        <f t="shared" si="14"/>
        <v>0</v>
      </c>
      <c r="E161" s="19">
        <f t="shared" si="15"/>
        <v>0</v>
      </c>
      <c r="F161" s="19">
        <f t="shared" si="16"/>
        <v>0</v>
      </c>
      <c r="G161" s="20">
        <f t="shared" si="17"/>
        <v>0</v>
      </c>
      <c r="H161" s="20">
        <v>0</v>
      </c>
      <c r="I161" s="20">
        <f t="shared" si="18"/>
        <v>0</v>
      </c>
      <c r="J161" s="20">
        <f t="shared" si="19"/>
        <v>0</v>
      </c>
      <c r="K161" s="18"/>
    </row>
    <row r="162" spans="1:11" x14ac:dyDescent="0.25">
      <c r="A162" s="25">
        <v>151</v>
      </c>
      <c r="B162" s="26">
        <v>49126</v>
      </c>
      <c r="C162" s="20">
        <f t="shared" si="20"/>
        <v>0</v>
      </c>
      <c r="D162" s="27">
        <f t="shared" si="14"/>
        <v>0</v>
      </c>
      <c r="E162" s="19">
        <f t="shared" si="15"/>
        <v>0</v>
      </c>
      <c r="F162" s="19">
        <f t="shared" si="16"/>
        <v>0</v>
      </c>
      <c r="G162" s="20">
        <f t="shared" si="17"/>
        <v>0</v>
      </c>
      <c r="H162" s="20">
        <v>0</v>
      </c>
      <c r="I162" s="20">
        <f t="shared" si="18"/>
        <v>0</v>
      </c>
      <c r="J162" s="20">
        <f t="shared" si="19"/>
        <v>0</v>
      </c>
      <c r="K162" s="18"/>
    </row>
    <row r="163" spans="1:11" x14ac:dyDescent="0.25">
      <c r="A163" s="25">
        <v>152</v>
      </c>
      <c r="B163" s="26">
        <v>49157</v>
      </c>
      <c r="C163" s="20">
        <f t="shared" si="20"/>
        <v>0</v>
      </c>
      <c r="D163" s="27">
        <f t="shared" si="14"/>
        <v>0</v>
      </c>
      <c r="E163" s="19">
        <f t="shared" si="15"/>
        <v>0</v>
      </c>
      <c r="F163" s="19">
        <f t="shared" si="16"/>
        <v>0</v>
      </c>
      <c r="G163" s="20">
        <f t="shared" si="17"/>
        <v>0</v>
      </c>
      <c r="H163" s="20">
        <v>0</v>
      </c>
      <c r="I163" s="20">
        <f t="shared" si="18"/>
        <v>0</v>
      </c>
      <c r="J163" s="20">
        <f t="shared" si="19"/>
        <v>0</v>
      </c>
      <c r="K163" s="18"/>
    </row>
    <row r="164" spans="1:11" x14ac:dyDescent="0.25">
      <c r="A164" s="25">
        <v>153</v>
      </c>
      <c r="B164" s="26">
        <v>49188</v>
      </c>
      <c r="C164" s="20">
        <f t="shared" si="20"/>
        <v>0</v>
      </c>
      <c r="D164" s="27">
        <f t="shared" si="14"/>
        <v>0</v>
      </c>
      <c r="E164" s="19">
        <f t="shared" si="15"/>
        <v>0</v>
      </c>
      <c r="F164" s="19">
        <f t="shared" si="16"/>
        <v>0</v>
      </c>
      <c r="G164" s="20">
        <f t="shared" si="17"/>
        <v>0</v>
      </c>
      <c r="H164" s="20">
        <v>0</v>
      </c>
      <c r="I164" s="20">
        <f t="shared" si="18"/>
        <v>0</v>
      </c>
      <c r="J164" s="20">
        <f t="shared" si="19"/>
        <v>0</v>
      </c>
      <c r="K164" s="18"/>
    </row>
    <row r="165" spans="1:11" x14ac:dyDescent="0.25">
      <c r="A165" s="25">
        <v>154</v>
      </c>
      <c r="B165" s="26">
        <v>49218</v>
      </c>
      <c r="C165" s="20">
        <f t="shared" si="20"/>
        <v>0</v>
      </c>
      <c r="D165" s="27">
        <f t="shared" si="14"/>
        <v>0</v>
      </c>
      <c r="E165" s="19">
        <f t="shared" si="15"/>
        <v>0</v>
      </c>
      <c r="F165" s="19">
        <f t="shared" si="16"/>
        <v>0</v>
      </c>
      <c r="G165" s="20">
        <f t="shared" si="17"/>
        <v>0</v>
      </c>
      <c r="H165" s="20">
        <v>0</v>
      </c>
      <c r="I165" s="20">
        <f t="shared" si="18"/>
        <v>0</v>
      </c>
      <c r="J165" s="20">
        <f t="shared" si="19"/>
        <v>0</v>
      </c>
      <c r="K165" s="18"/>
    </row>
    <row r="166" spans="1:11" x14ac:dyDescent="0.25">
      <c r="A166" s="25">
        <v>155</v>
      </c>
      <c r="B166" s="26">
        <v>49249</v>
      </c>
      <c r="C166" s="20">
        <f t="shared" si="20"/>
        <v>0</v>
      </c>
      <c r="D166" s="27">
        <f t="shared" si="14"/>
        <v>0</v>
      </c>
      <c r="E166" s="19">
        <f t="shared" si="15"/>
        <v>0</v>
      </c>
      <c r="F166" s="19">
        <f t="shared" si="16"/>
        <v>0</v>
      </c>
      <c r="G166" s="20">
        <f t="shared" si="17"/>
        <v>0</v>
      </c>
      <c r="H166" s="20">
        <v>0</v>
      </c>
      <c r="I166" s="20">
        <f t="shared" si="18"/>
        <v>0</v>
      </c>
      <c r="J166" s="20">
        <f t="shared" si="19"/>
        <v>0</v>
      </c>
      <c r="K166" s="18"/>
    </row>
    <row r="167" spans="1:11" x14ac:dyDescent="0.25">
      <c r="A167" s="25">
        <v>156</v>
      </c>
      <c r="B167" s="26">
        <v>49279</v>
      </c>
      <c r="C167" s="20">
        <f t="shared" si="20"/>
        <v>0</v>
      </c>
      <c r="D167" s="27">
        <f t="shared" si="14"/>
        <v>0</v>
      </c>
      <c r="E167" s="19">
        <f t="shared" si="15"/>
        <v>0</v>
      </c>
      <c r="F167" s="19">
        <f t="shared" si="16"/>
        <v>0</v>
      </c>
      <c r="G167" s="20">
        <f t="shared" si="17"/>
        <v>0</v>
      </c>
      <c r="H167" s="20">
        <v>0</v>
      </c>
      <c r="I167" s="20">
        <f t="shared" si="18"/>
        <v>0</v>
      </c>
      <c r="J167" s="20">
        <f t="shared" si="19"/>
        <v>0</v>
      </c>
      <c r="K167" s="18"/>
    </row>
    <row r="168" spans="1:11" x14ac:dyDescent="0.25">
      <c r="A168" s="25">
        <v>157</v>
      </c>
      <c r="B168" s="26">
        <v>49310</v>
      </c>
      <c r="C168" s="20">
        <f t="shared" si="20"/>
        <v>0</v>
      </c>
      <c r="D168" s="27">
        <f t="shared" si="14"/>
        <v>0</v>
      </c>
      <c r="E168" s="19">
        <f t="shared" si="15"/>
        <v>0</v>
      </c>
      <c r="F168" s="19">
        <f t="shared" si="16"/>
        <v>0</v>
      </c>
      <c r="G168" s="20">
        <f t="shared" si="17"/>
        <v>0</v>
      </c>
      <c r="H168" s="20">
        <v>0</v>
      </c>
      <c r="I168" s="20">
        <f t="shared" si="18"/>
        <v>0</v>
      </c>
      <c r="J168" s="20">
        <f t="shared" si="19"/>
        <v>0</v>
      </c>
      <c r="K168" s="18"/>
    </row>
    <row r="169" spans="1:11" x14ac:dyDescent="0.25">
      <c r="A169" s="25">
        <v>158</v>
      </c>
      <c r="B169" s="26">
        <v>49341</v>
      </c>
      <c r="C169" s="20">
        <f t="shared" si="20"/>
        <v>0</v>
      </c>
      <c r="D169" s="27">
        <f t="shared" si="14"/>
        <v>0</v>
      </c>
      <c r="E169" s="19">
        <f t="shared" si="15"/>
        <v>0</v>
      </c>
      <c r="F169" s="19">
        <f t="shared" si="16"/>
        <v>0</v>
      </c>
      <c r="G169" s="20">
        <f t="shared" si="17"/>
        <v>0</v>
      </c>
      <c r="H169" s="20">
        <v>0</v>
      </c>
      <c r="I169" s="20">
        <f t="shared" si="18"/>
        <v>0</v>
      </c>
      <c r="J169" s="20">
        <f t="shared" si="19"/>
        <v>0</v>
      </c>
      <c r="K169" s="18"/>
    </row>
    <row r="170" spans="1:11" x14ac:dyDescent="0.25">
      <c r="A170" s="25">
        <v>159</v>
      </c>
      <c r="B170" s="26">
        <v>49369</v>
      </c>
      <c r="C170" s="20">
        <f t="shared" si="20"/>
        <v>0</v>
      </c>
      <c r="D170" s="27">
        <f t="shared" si="14"/>
        <v>0</v>
      </c>
      <c r="E170" s="19">
        <f t="shared" si="15"/>
        <v>0</v>
      </c>
      <c r="F170" s="19">
        <f t="shared" si="16"/>
        <v>0</v>
      </c>
      <c r="G170" s="20">
        <f t="shared" si="17"/>
        <v>0</v>
      </c>
      <c r="H170" s="20">
        <v>0</v>
      </c>
      <c r="I170" s="20">
        <f t="shared" si="18"/>
        <v>0</v>
      </c>
      <c r="J170" s="20">
        <f t="shared" si="19"/>
        <v>0</v>
      </c>
      <c r="K170" s="18"/>
    </row>
    <row r="171" spans="1:11" x14ac:dyDescent="0.25">
      <c r="A171" s="25">
        <v>160</v>
      </c>
      <c r="B171" s="26">
        <v>49400</v>
      </c>
      <c r="C171" s="20">
        <f t="shared" si="20"/>
        <v>0</v>
      </c>
      <c r="D171" s="27">
        <f t="shared" si="14"/>
        <v>0</v>
      </c>
      <c r="E171" s="19">
        <f t="shared" si="15"/>
        <v>0</v>
      </c>
      <c r="F171" s="19">
        <f t="shared" si="16"/>
        <v>0</v>
      </c>
      <c r="G171" s="20">
        <f t="shared" si="17"/>
        <v>0</v>
      </c>
      <c r="H171" s="20">
        <v>0</v>
      </c>
      <c r="I171" s="20">
        <f t="shared" si="18"/>
        <v>0</v>
      </c>
      <c r="J171" s="20">
        <f t="shared" si="19"/>
        <v>0</v>
      </c>
      <c r="K171" s="18"/>
    </row>
    <row r="172" spans="1:11" x14ac:dyDescent="0.25">
      <c r="A172" s="25">
        <v>161</v>
      </c>
      <c r="B172" s="26">
        <v>49430</v>
      </c>
      <c r="C172" s="20">
        <f t="shared" si="20"/>
        <v>0</v>
      </c>
      <c r="D172" s="27">
        <f t="shared" si="14"/>
        <v>0</v>
      </c>
      <c r="E172" s="19">
        <f t="shared" si="15"/>
        <v>0</v>
      </c>
      <c r="F172" s="19">
        <f t="shared" si="16"/>
        <v>0</v>
      </c>
      <c r="G172" s="20">
        <f t="shared" si="17"/>
        <v>0</v>
      </c>
      <c r="H172" s="20">
        <v>0</v>
      </c>
      <c r="I172" s="20">
        <f t="shared" si="18"/>
        <v>0</v>
      </c>
      <c r="J172" s="20">
        <f t="shared" si="19"/>
        <v>0</v>
      </c>
      <c r="K172" s="18"/>
    </row>
    <row r="173" spans="1:11" x14ac:dyDescent="0.25">
      <c r="A173" s="25">
        <v>162</v>
      </c>
      <c r="B173" s="26">
        <v>49461</v>
      </c>
      <c r="C173" s="20">
        <f t="shared" si="20"/>
        <v>0</v>
      </c>
      <c r="D173" s="27">
        <f t="shared" si="14"/>
        <v>0</v>
      </c>
      <c r="E173" s="19">
        <f t="shared" si="15"/>
        <v>0</v>
      </c>
      <c r="F173" s="19">
        <f t="shared" si="16"/>
        <v>0</v>
      </c>
      <c r="G173" s="20">
        <f t="shared" si="17"/>
        <v>0</v>
      </c>
      <c r="H173" s="20">
        <v>0</v>
      </c>
      <c r="I173" s="20">
        <f t="shared" si="18"/>
        <v>0</v>
      </c>
      <c r="J173" s="20">
        <f t="shared" si="19"/>
        <v>0</v>
      </c>
      <c r="K173" s="18"/>
    </row>
    <row r="174" spans="1:11" x14ac:dyDescent="0.25">
      <c r="A174" s="25">
        <v>163</v>
      </c>
      <c r="B174" s="26">
        <v>49491</v>
      </c>
      <c r="C174" s="20">
        <f t="shared" si="20"/>
        <v>0</v>
      </c>
      <c r="D174" s="27">
        <f t="shared" si="14"/>
        <v>0</v>
      </c>
      <c r="E174" s="19">
        <f t="shared" si="15"/>
        <v>0</v>
      </c>
      <c r="F174" s="19">
        <f t="shared" si="16"/>
        <v>0</v>
      </c>
      <c r="G174" s="20">
        <f t="shared" si="17"/>
        <v>0</v>
      </c>
      <c r="H174" s="20">
        <v>0</v>
      </c>
      <c r="I174" s="20">
        <f t="shared" si="18"/>
        <v>0</v>
      </c>
      <c r="J174" s="20">
        <f t="shared" si="19"/>
        <v>0</v>
      </c>
      <c r="K174" s="18"/>
    </row>
    <row r="175" spans="1:11" x14ac:dyDescent="0.25">
      <c r="A175" s="25">
        <v>164</v>
      </c>
      <c r="B175" s="26">
        <v>49522</v>
      </c>
      <c r="C175" s="20">
        <f t="shared" si="20"/>
        <v>0</v>
      </c>
      <c r="D175" s="27">
        <f t="shared" si="14"/>
        <v>0</v>
      </c>
      <c r="E175" s="19">
        <f t="shared" si="15"/>
        <v>0</v>
      </c>
      <c r="F175" s="19">
        <f t="shared" si="16"/>
        <v>0</v>
      </c>
      <c r="G175" s="20">
        <f t="shared" si="17"/>
        <v>0</v>
      </c>
      <c r="H175" s="20">
        <v>0</v>
      </c>
      <c r="I175" s="20">
        <f t="shared" si="18"/>
        <v>0</v>
      </c>
      <c r="J175" s="20">
        <f t="shared" si="19"/>
        <v>0</v>
      </c>
      <c r="K175" s="18"/>
    </row>
    <row r="176" spans="1:11" x14ac:dyDescent="0.25">
      <c r="A176" s="25">
        <v>165</v>
      </c>
      <c r="B176" s="26">
        <v>49553</v>
      </c>
      <c r="C176" s="20">
        <f t="shared" si="20"/>
        <v>0</v>
      </c>
      <c r="D176" s="27">
        <f t="shared" si="14"/>
        <v>0</v>
      </c>
      <c r="E176" s="19">
        <f t="shared" si="15"/>
        <v>0</v>
      </c>
      <c r="F176" s="19">
        <f t="shared" si="16"/>
        <v>0</v>
      </c>
      <c r="G176" s="20">
        <f t="shared" si="17"/>
        <v>0</v>
      </c>
      <c r="H176" s="20">
        <v>0</v>
      </c>
      <c r="I176" s="20">
        <f t="shared" si="18"/>
        <v>0</v>
      </c>
      <c r="J176" s="20">
        <f t="shared" si="19"/>
        <v>0</v>
      </c>
      <c r="K176" s="18"/>
    </row>
    <row r="177" spans="1:11" x14ac:dyDescent="0.25">
      <c r="A177" s="25">
        <v>166</v>
      </c>
      <c r="B177" s="26">
        <v>49583</v>
      </c>
      <c r="C177" s="20">
        <f t="shared" si="20"/>
        <v>0</v>
      </c>
      <c r="D177" s="27">
        <f t="shared" si="14"/>
        <v>0</v>
      </c>
      <c r="E177" s="19">
        <f t="shared" si="15"/>
        <v>0</v>
      </c>
      <c r="F177" s="19">
        <f t="shared" si="16"/>
        <v>0</v>
      </c>
      <c r="G177" s="20">
        <f t="shared" si="17"/>
        <v>0</v>
      </c>
      <c r="H177" s="20">
        <v>0</v>
      </c>
      <c r="I177" s="20">
        <f t="shared" si="18"/>
        <v>0</v>
      </c>
      <c r="J177" s="20">
        <f t="shared" si="19"/>
        <v>0</v>
      </c>
      <c r="K177" s="18"/>
    </row>
    <row r="178" spans="1:11" x14ac:dyDescent="0.25">
      <c r="A178" s="25">
        <v>167</v>
      </c>
      <c r="B178" s="26">
        <v>49614</v>
      </c>
      <c r="C178" s="20">
        <f t="shared" si="20"/>
        <v>0</v>
      </c>
      <c r="D178" s="27">
        <f t="shared" si="14"/>
        <v>0</v>
      </c>
      <c r="E178" s="19">
        <f t="shared" si="15"/>
        <v>0</v>
      </c>
      <c r="F178" s="19">
        <f t="shared" si="16"/>
        <v>0</v>
      </c>
      <c r="G178" s="20">
        <f t="shared" si="17"/>
        <v>0</v>
      </c>
      <c r="H178" s="20">
        <v>0</v>
      </c>
      <c r="I178" s="20">
        <f t="shared" si="18"/>
        <v>0</v>
      </c>
      <c r="J178" s="20">
        <f t="shared" si="19"/>
        <v>0</v>
      </c>
      <c r="K178" s="18"/>
    </row>
    <row r="179" spans="1:11" x14ac:dyDescent="0.25">
      <c r="A179" s="25">
        <v>168</v>
      </c>
      <c r="B179" s="26">
        <v>49644</v>
      </c>
      <c r="C179" s="20">
        <f t="shared" si="20"/>
        <v>0</v>
      </c>
      <c r="D179" s="27">
        <f t="shared" si="14"/>
        <v>0</v>
      </c>
      <c r="E179" s="19">
        <f t="shared" si="15"/>
        <v>0</v>
      </c>
      <c r="F179" s="19">
        <f t="shared" si="16"/>
        <v>0</v>
      </c>
      <c r="G179" s="20">
        <f t="shared" si="17"/>
        <v>0</v>
      </c>
      <c r="H179" s="20">
        <v>0</v>
      </c>
      <c r="I179" s="20">
        <f t="shared" si="18"/>
        <v>0</v>
      </c>
      <c r="J179" s="20">
        <f t="shared" si="19"/>
        <v>0</v>
      </c>
      <c r="K179" s="18"/>
    </row>
    <row r="180" spans="1:11" x14ac:dyDescent="0.25">
      <c r="A180" s="25">
        <v>169</v>
      </c>
      <c r="B180" s="26">
        <v>49675</v>
      </c>
      <c r="C180" s="20">
        <f t="shared" si="20"/>
        <v>0</v>
      </c>
      <c r="D180" s="27">
        <f t="shared" si="14"/>
        <v>0</v>
      </c>
      <c r="E180" s="19">
        <f t="shared" si="15"/>
        <v>0</v>
      </c>
      <c r="F180" s="19">
        <f t="shared" si="16"/>
        <v>0</v>
      </c>
      <c r="G180" s="20">
        <f t="shared" si="17"/>
        <v>0</v>
      </c>
      <c r="H180" s="20">
        <v>0</v>
      </c>
      <c r="I180" s="20">
        <f t="shared" si="18"/>
        <v>0</v>
      </c>
      <c r="J180" s="20">
        <f t="shared" si="19"/>
        <v>0</v>
      </c>
      <c r="K180" s="18"/>
    </row>
    <row r="181" spans="1:11" x14ac:dyDescent="0.25">
      <c r="A181" s="25">
        <v>170</v>
      </c>
      <c r="B181" s="26">
        <v>49706</v>
      </c>
      <c r="C181" s="20">
        <f t="shared" si="20"/>
        <v>0</v>
      </c>
      <c r="D181" s="27">
        <f t="shared" si="14"/>
        <v>0</v>
      </c>
      <c r="E181" s="19">
        <f t="shared" si="15"/>
        <v>0</v>
      </c>
      <c r="F181" s="19">
        <f t="shared" si="16"/>
        <v>0</v>
      </c>
      <c r="G181" s="20">
        <f t="shared" si="17"/>
        <v>0</v>
      </c>
      <c r="H181" s="20">
        <v>0</v>
      </c>
      <c r="I181" s="20">
        <f t="shared" si="18"/>
        <v>0</v>
      </c>
      <c r="J181" s="20">
        <f t="shared" si="19"/>
        <v>0</v>
      </c>
      <c r="K181" s="18"/>
    </row>
    <row r="182" spans="1:11" x14ac:dyDescent="0.25">
      <c r="A182" s="25">
        <v>171</v>
      </c>
      <c r="B182" s="26">
        <v>49735</v>
      </c>
      <c r="C182" s="20">
        <f t="shared" si="20"/>
        <v>0</v>
      </c>
      <c r="D182" s="27">
        <f t="shared" si="14"/>
        <v>0</v>
      </c>
      <c r="E182" s="19">
        <f t="shared" si="15"/>
        <v>0</v>
      </c>
      <c r="F182" s="19">
        <f t="shared" si="16"/>
        <v>0</v>
      </c>
      <c r="G182" s="20">
        <f t="shared" si="17"/>
        <v>0</v>
      </c>
      <c r="H182" s="20">
        <v>0</v>
      </c>
      <c r="I182" s="20">
        <f t="shared" si="18"/>
        <v>0</v>
      </c>
      <c r="J182" s="20">
        <f t="shared" si="19"/>
        <v>0</v>
      </c>
      <c r="K182" s="18"/>
    </row>
    <row r="183" spans="1:11" x14ac:dyDescent="0.25">
      <c r="A183" s="25">
        <v>172</v>
      </c>
      <c r="B183" s="26">
        <v>49766</v>
      </c>
      <c r="C183" s="20">
        <f t="shared" si="20"/>
        <v>0</v>
      </c>
      <c r="D183" s="27">
        <f t="shared" si="14"/>
        <v>0</v>
      </c>
      <c r="E183" s="19">
        <f t="shared" si="15"/>
        <v>0</v>
      </c>
      <c r="F183" s="19">
        <f t="shared" si="16"/>
        <v>0</v>
      </c>
      <c r="G183" s="20">
        <f t="shared" si="17"/>
        <v>0</v>
      </c>
      <c r="H183" s="20">
        <v>0</v>
      </c>
      <c r="I183" s="20">
        <f t="shared" si="18"/>
        <v>0</v>
      </c>
      <c r="J183" s="20">
        <f t="shared" si="19"/>
        <v>0</v>
      </c>
      <c r="K183" s="18"/>
    </row>
    <row r="184" spans="1:11" x14ac:dyDescent="0.25">
      <c r="A184" s="25">
        <v>173</v>
      </c>
      <c r="B184" s="26">
        <v>49796</v>
      </c>
      <c r="C184" s="20">
        <f t="shared" si="20"/>
        <v>0</v>
      </c>
      <c r="D184" s="27">
        <f t="shared" si="14"/>
        <v>0</v>
      </c>
      <c r="E184" s="19">
        <f t="shared" si="15"/>
        <v>0</v>
      </c>
      <c r="F184" s="19">
        <f t="shared" si="16"/>
        <v>0</v>
      </c>
      <c r="G184" s="20">
        <f t="shared" si="17"/>
        <v>0</v>
      </c>
      <c r="H184" s="20">
        <v>0</v>
      </c>
      <c r="I184" s="20">
        <f t="shared" si="18"/>
        <v>0</v>
      </c>
      <c r="J184" s="20">
        <f t="shared" si="19"/>
        <v>0</v>
      </c>
      <c r="K184" s="18"/>
    </row>
    <row r="185" spans="1:11" x14ac:dyDescent="0.25">
      <c r="A185" s="25">
        <v>174</v>
      </c>
      <c r="B185" s="26">
        <v>49827</v>
      </c>
      <c r="C185" s="20">
        <f t="shared" si="20"/>
        <v>0</v>
      </c>
      <c r="D185" s="27">
        <f t="shared" si="14"/>
        <v>0</v>
      </c>
      <c r="E185" s="19">
        <f t="shared" si="15"/>
        <v>0</v>
      </c>
      <c r="F185" s="19">
        <f t="shared" si="16"/>
        <v>0</v>
      </c>
      <c r="G185" s="20">
        <f t="shared" si="17"/>
        <v>0</v>
      </c>
      <c r="H185" s="20">
        <v>0</v>
      </c>
      <c r="I185" s="20">
        <f t="shared" si="18"/>
        <v>0</v>
      </c>
      <c r="J185" s="20">
        <f t="shared" si="19"/>
        <v>0</v>
      </c>
      <c r="K185" s="18"/>
    </row>
    <row r="186" spans="1:11" x14ac:dyDescent="0.25">
      <c r="A186" s="25">
        <v>175</v>
      </c>
      <c r="B186" s="26">
        <v>49857</v>
      </c>
      <c r="C186" s="20">
        <f t="shared" si="20"/>
        <v>0</v>
      </c>
      <c r="D186" s="27">
        <f t="shared" si="14"/>
        <v>0</v>
      </c>
      <c r="E186" s="19">
        <f t="shared" si="15"/>
        <v>0</v>
      </c>
      <c r="F186" s="19">
        <f t="shared" si="16"/>
        <v>0</v>
      </c>
      <c r="G186" s="20">
        <f t="shared" si="17"/>
        <v>0</v>
      </c>
      <c r="H186" s="20">
        <v>0</v>
      </c>
      <c r="I186" s="20">
        <f t="shared" si="18"/>
        <v>0</v>
      </c>
      <c r="J186" s="20">
        <f t="shared" si="19"/>
        <v>0</v>
      </c>
      <c r="K186" s="18"/>
    </row>
    <row r="187" spans="1:11" x14ac:dyDescent="0.25">
      <c r="A187" s="25">
        <v>176</v>
      </c>
      <c r="B187" s="26">
        <v>49888</v>
      </c>
      <c r="C187" s="20">
        <f t="shared" si="20"/>
        <v>0</v>
      </c>
      <c r="D187" s="27">
        <f t="shared" si="14"/>
        <v>0</v>
      </c>
      <c r="E187" s="19">
        <f t="shared" si="15"/>
        <v>0</v>
      </c>
      <c r="F187" s="19">
        <f t="shared" si="16"/>
        <v>0</v>
      </c>
      <c r="G187" s="20">
        <f t="shared" si="17"/>
        <v>0</v>
      </c>
      <c r="H187" s="20">
        <v>0</v>
      </c>
      <c r="I187" s="20">
        <f t="shared" si="18"/>
        <v>0</v>
      </c>
      <c r="J187" s="20">
        <f t="shared" si="19"/>
        <v>0</v>
      </c>
      <c r="K187" s="18"/>
    </row>
    <row r="188" spans="1:11" x14ac:dyDescent="0.25">
      <c r="A188" s="25">
        <v>177</v>
      </c>
      <c r="B188" s="26">
        <v>49919</v>
      </c>
      <c r="C188" s="20">
        <f t="shared" si="20"/>
        <v>0</v>
      </c>
      <c r="D188" s="27">
        <f t="shared" si="14"/>
        <v>0</v>
      </c>
      <c r="E188" s="19">
        <f t="shared" si="15"/>
        <v>0</v>
      </c>
      <c r="F188" s="19">
        <f t="shared" si="16"/>
        <v>0</v>
      </c>
      <c r="G188" s="20">
        <f t="shared" si="17"/>
        <v>0</v>
      </c>
      <c r="H188" s="20">
        <v>0</v>
      </c>
      <c r="I188" s="20">
        <f t="shared" si="18"/>
        <v>0</v>
      </c>
      <c r="J188" s="20">
        <f t="shared" si="19"/>
        <v>0</v>
      </c>
      <c r="K188" s="18"/>
    </row>
    <row r="189" spans="1:11" x14ac:dyDescent="0.25">
      <c r="A189" s="25">
        <v>178</v>
      </c>
      <c r="B189" s="26">
        <v>49949</v>
      </c>
      <c r="C189" s="20">
        <f t="shared" si="20"/>
        <v>0</v>
      </c>
      <c r="D189" s="27">
        <f t="shared" si="14"/>
        <v>0</v>
      </c>
      <c r="E189" s="19">
        <f t="shared" si="15"/>
        <v>0</v>
      </c>
      <c r="F189" s="19">
        <f t="shared" si="16"/>
        <v>0</v>
      </c>
      <c r="G189" s="20">
        <f t="shared" si="17"/>
        <v>0</v>
      </c>
      <c r="H189" s="20">
        <v>0</v>
      </c>
      <c r="I189" s="20">
        <f t="shared" si="18"/>
        <v>0</v>
      </c>
      <c r="J189" s="20">
        <f t="shared" si="19"/>
        <v>0</v>
      </c>
      <c r="K189" s="18"/>
    </row>
    <row r="190" spans="1:11" x14ac:dyDescent="0.25">
      <c r="A190" s="25">
        <v>179</v>
      </c>
      <c r="B190" s="26">
        <v>49980</v>
      </c>
      <c r="C190" s="20">
        <f t="shared" si="20"/>
        <v>0</v>
      </c>
      <c r="D190" s="27">
        <f t="shared" si="14"/>
        <v>0</v>
      </c>
      <c r="E190" s="19">
        <f t="shared" si="15"/>
        <v>0</v>
      </c>
      <c r="F190" s="19">
        <f t="shared" si="16"/>
        <v>0</v>
      </c>
      <c r="G190" s="20">
        <f t="shared" si="17"/>
        <v>0</v>
      </c>
      <c r="H190" s="20">
        <v>0</v>
      </c>
      <c r="I190" s="20">
        <f t="shared" si="18"/>
        <v>0</v>
      </c>
      <c r="J190" s="20">
        <f t="shared" si="19"/>
        <v>0</v>
      </c>
      <c r="K190" s="18"/>
    </row>
    <row r="191" spans="1:11" x14ac:dyDescent="0.25">
      <c r="A191" s="25">
        <v>180</v>
      </c>
      <c r="B191" s="26">
        <v>50010</v>
      </c>
      <c r="C191" s="20">
        <f t="shared" si="20"/>
        <v>0</v>
      </c>
      <c r="D191" s="27">
        <f t="shared" si="14"/>
        <v>0</v>
      </c>
      <c r="E191" s="19">
        <f t="shared" si="15"/>
        <v>0</v>
      </c>
      <c r="F191" s="19">
        <f t="shared" si="16"/>
        <v>0</v>
      </c>
      <c r="G191" s="20">
        <f t="shared" si="17"/>
        <v>0</v>
      </c>
      <c r="H191" s="20">
        <v>0</v>
      </c>
      <c r="I191" s="20">
        <f t="shared" si="18"/>
        <v>0</v>
      </c>
      <c r="J191" s="20">
        <f t="shared" si="19"/>
        <v>0</v>
      </c>
      <c r="K191" s="18"/>
    </row>
    <row r="192" spans="1:11" x14ac:dyDescent="0.25">
      <c r="A192" s="25">
        <v>181</v>
      </c>
      <c r="B192" s="26">
        <v>50041</v>
      </c>
      <c r="C192" s="20">
        <f t="shared" si="20"/>
        <v>0</v>
      </c>
      <c r="D192" s="27">
        <f t="shared" si="14"/>
        <v>0</v>
      </c>
      <c r="E192" s="19">
        <f t="shared" si="15"/>
        <v>0</v>
      </c>
      <c r="F192" s="19">
        <f t="shared" si="16"/>
        <v>0</v>
      </c>
      <c r="G192" s="20">
        <f t="shared" si="17"/>
        <v>0</v>
      </c>
      <c r="H192" s="20">
        <v>0</v>
      </c>
      <c r="I192" s="20">
        <f t="shared" si="18"/>
        <v>0</v>
      </c>
      <c r="J192" s="20">
        <f t="shared" si="19"/>
        <v>0</v>
      </c>
      <c r="K192" s="18"/>
    </row>
    <row r="193" spans="1:11" x14ac:dyDescent="0.25">
      <c r="A193" s="25">
        <v>182</v>
      </c>
      <c r="B193" s="26">
        <v>50072</v>
      </c>
      <c r="C193" s="20">
        <f t="shared" si="20"/>
        <v>0</v>
      </c>
      <c r="D193" s="27">
        <f t="shared" si="14"/>
        <v>0</v>
      </c>
      <c r="E193" s="19">
        <f t="shared" si="15"/>
        <v>0</v>
      </c>
      <c r="F193" s="19">
        <f t="shared" si="16"/>
        <v>0</v>
      </c>
      <c r="G193" s="20">
        <f t="shared" si="17"/>
        <v>0</v>
      </c>
      <c r="H193" s="20">
        <v>0</v>
      </c>
      <c r="I193" s="20">
        <f t="shared" si="18"/>
        <v>0</v>
      </c>
      <c r="J193" s="20">
        <f t="shared" si="19"/>
        <v>0</v>
      </c>
      <c r="K193" s="18"/>
    </row>
    <row r="194" spans="1:11" x14ac:dyDescent="0.25">
      <c r="A194" s="25">
        <v>183</v>
      </c>
      <c r="B194" s="26">
        <v>50100</v>
      </c>
      <c r="C194" s="20">
        <f t="shared" si="20"/>
        <v>0</v>
      </c>
      <c r="D194" s="27">
        <f t="shared" si="14"/>
        <v>0</v>
      </c>
      <c r="E194" s="19">
        <f t="shared" si="15"/>
        <v>0</v>
      </c>
      <c r="F194" s="19">
        <f t="shared" si="16"/>
        <v>0</v>
      </c>
      <c r="G194" s="20">
        <f t="shared" si="17"/>
        <v>0</v>
      </c>
      <c r="H194" s="20">
        <v>0</v>
      </c>
      <c r="I194" s="20">
        <f t="shared" si="18"/>
        <v>0</v>
      </c>
      <c r="J194" s="20">
        <f t="shared" si="19"/>
        <v>0</v>
      </c>
      <c r="K194" s="18"/>
    </row>
    <row r="195" spans="1:11" x14ac:dyDescent="0.25">
      <c r="A195" s="25">
        <v>184</v>
      </c>
      <c r="B195" s="26">
        <v>50131</v>
      </c>
      <c r="C195" s="20">
        <f t="shared" si="20"/>
        <v>0</v>
      </c>
      <c r="D195" s="27">
        <f t="shared" si="14"/>
        <v>0</v>
      </c>
      <c r="E195" s="19">
        <f t="shared" si="15"/>
        <v>0</v>
      </c>
      <c r="F195" s="19">
        <f t="shared" si="16"/>
        <v>0</v>
      </c>
      <c r="G195" s="20">
        <f t="shared" si="17"/>
        <v>0</v>
      </c>
      <c r="H195" s="20">
        <v>0</v>
      </c>
      <c r="I195" s="20">
        <f t="shared" si="18"/>
        <v>0</v>
      </c>
      <c r="J195" s="20">
        <f t="shared" si="19"/>
        <v>0</v>
      </c>
      <c r="K195" s="18"/>
    </row>
    <row r="196" spans="1:11" x14ac:dyDescent="0.25">
      <c r="A196" s="25">
        <v>185</v>
      </c>
      <c r="B196" s="26">
        <v>50161</v>
      </c>
      <c r="C196" s="20">
        <f t="shared" si="20"/>
        <v>0</v>
      </c>
      <c r="D196" s="27">
        <f t="shared" si="14"/>
        <v>0</v>
      </c>
      <c r="E196" s="19">
        <f t="shared" si="15"/>
        <v>0</v>
      </c>
      <c r="F196" s="19">
        <f t="shared" si="16"/>
        <v>0</v>
      </c>
      <c r="G196" s="20">
        <f t="shared" si="17"/>
        <v>0</v>
      </c>
      <c r="H196" s="20">
        <v>0</v>
      </c>
      <c r="I196" s="20">
        <f t="shared" si="18"/>
        <v>0</v>
      </c>
      <c r="J196" s="20">
        <f t="shared" si="19"/>
        <v>0</v>
      </c>
      <c r="K196" s="18"/>
    </row>
    <row r="197" spans="1:11" x14ac:dyDescent="0.25">
      <c r="A197" s="25">
        <v>186</v>
      </c>
      <c r="B197" s="26">
        <v>50192</v>
      </c>
      <c r="C197" s="20">
        <f t="shared" si="20"/>
        <v>0</v>
      </c>
      <c r="D197" s="27">
        <f t="shared" si="14"/>
        <v>0</v>
      </c>
      <c r="E197" s="19">
        <f t="shared" si="15"/>
        <v>0</v>
      </c>
      <c r="F197" s="19">
        <f t="shared" si="16"/>
        <v>0</v>
      </c>
      <c r="G197" s="20">
        <f t="shared" si="17"/>
        <v>0</v>
      </c>
      <c r="H197" s="20">
        <v>0</v>
      </c>
      <c r="I197" s="20">
        <f t="shared" si="18"/>
        <v>0</v>
      </c>
      <c r="J197" s="20">
        <f t="shared" si="19"/>
        <v>0</v>
      </c>
      <c r="K197" s="18"/>
    </row>
    <row r="198" spans="1:11" x14ac:dyDescent="0.25">
      <c r="A198" s="25">
        <v>187</v>
      </c>
      <c r="B198" s="26">
        <v>50222</v>
      </c>
      <c r="C198" s="20">
        <f t="shared" si="20"/>
        <v>0</v>
      </c>
      <c r="D198" s="27">
        <f t="shared" si="14"/>
        <v>0</v>
      </c>
      <c r="E198" s="19">
        <f t="shared" si="15"/>
        <v>0</v>
      </c>
      <c r="F198" s="19">
        <f t="shared" si="16"/>
        <v>0</v>
      </c>
      <c r="G198" s="20">
        <f t="shared" si="17"/>
        <v>0</v>
      </c>
      <c r="H198" s="20">
        <v>0</v>
      </c>
      <c r="I198" s="20">
        <f t="shared" si="18"/>
        <v>0</v>
      </c>
      <c r="J198" s="20">
        <f t="shared" si="19"/>
        <v>0</v>
      </c>
      <c r="K198" s="18"/>
    </row>
    <row r="199" spans="1:11" x14ac:dyDescent="0.25">
      <c r="A199" s="25">
        <v>188</v>
      </c>
      <c r="B199" s="26">
        <v>50253</v>
      </c>
      <c r="C199" s="20">
        <f t="shared" si="20"/>
        <v>0</v>
      </c>
      <c r="D199" s="27">
        <f t="shared" si="14"/>
        <v>0</v>
      </c>
      <c r="E199" s="19">
        <f t="shared" si="15"/>
        <v>0</v>
      </c>
      <c r="F199" s="19">
        <f t="shared" si="16"/>
        <v>0</v>
      </c>
      <c r="G199" s="20">
        <f t="shared" si="17"/>
        <v>0</v>
      </c>
      <c r="H199" s="20">
        <v>0</v>
      </c>
      <c r="I199" s="20">
        <f t="shared" si="18"/>
        <v>0</v>
      </c>
      <c r="J199" s="20">
        <f t="shared" si="19"/>
        <v>0</v>
      </c>
      <c r="K199" s="18"/>
    </row>
    <row r="200" spans="1:11" x14ac:dyDescent="0.25">
      <c r="A200" s="25">
        <v>189</v>
      </c>
      <c r="B200" s="26">
        <v>50284</v>
      </c>
      <c r="C200" s="20">
        <f t="shared" si="20"/>
        <v>0</v>
      </c>
      <c r="D200" s="27">
        <f t="shared" si="14"/>
        <v>0</v>
      </c>
      <c r="E200" s="19">
        <f t="shared" si="15"/>
        <v>0</v>
      </c>
      <c r="F200" s="19">
        <f t="shared" si="16"/>
        <v>0</v>
      </c>
      <c r="G200" s="20">
        <f t="shared" si="17"/>
        <v>0</v>
      </c>
      <c r="H200" s="20">
        <v>0</v>
      </c>
      <c r="I200" s="20">
        <f t="shared" si="18"/>
        <v>0</v>
      </c>
      <c r="J200" s="20">
        <f t="shared" si="19"/>
        <v>0</v>
      </c>
      <c r="K200" s="18"/>
    </row>
    <row r="201" spans="1:11" x14ac:dyDescent="0.25">
      <c r="A201" s="25">
        <v>190</v>
      </c>
      <c r="B201" s="26">
        <v>50314</v>
      </c>
      <c r="C201" s="20">
        <f t="shared" si="20"/>
        <v>0</v>
      </c>
      <c r="D201" s="27">
        <f t="shared" si="14"/>
        <v>0</v>
      </c>
      <c r="E201" s="19">
        <f t="shared" si="15"/>
        <v>0</v>
      </c>
      <c r="F201" s="19">
        <f t="shared" si="16"/>
        <v>0</v>
      </c>
      <c r="G201" s="20">
        <f t="shared" si="17"/>
        <v>0</v>
      </c>
      <c r="H201" s="20">
        <v>0</v>
      </c>
      <c r="I201" s="20">
        <f t="shared" si="18"/>
        <v>0</v>
      </c>
      <c r="J201" s="20">
        <f t="shared" si="19"/>
        <v>0</v>
      </c>
      <c r="K201" s="18"/>
    </row>
    <row r="202" spans="1:11" x14ac:dyDescent="0.25">
      <c r="A202" s="25">
        <v>191</v>
      </c>
      <c r="B202" s="26">
        <v>50345</v>
      </c>
      <c r="C202" s="20">
        <f t="shared" si="20"/>
        <v>0</v>
      </c>
      <c r="D202" s="27">
        <f t="shared" si="14"/>
        <v>0</v>
      </c>
      <c r="E202" s="19">
        <f t="shared" si="15"/>
        <v>0</v>
      </c>
      <c r="F202" s="19">
        <f t="shared" si="16"/>
        <v>0</v>
      </c>
      <c r="G202" s="20">
        <f t="shared" si="17"/>
        <v>0</v>
      </c>
      <c r="H202" s="20">
        <v>0</v>
      </c>
      <c r="I202" s="20">
        <f t="shared" si="18"/>
        <v>0</v>
      </c>
      <c r="J202" s="20">
        <f t="shared" si="19"/>
        <v>0</v>
      </c>
      <c r="K202" s="18"/>
    </row>
    <row r="203" spans="1:11" x14ac:dyDescent="0.25">
      <c r="A203" s="25">
        <v>192</v>
      </c>
      <c r="B203" s="26">
        <v>50375</v>
      </c>
      <c r="C203" s="20">
        <f t="shared" si="20"/>
        <v>0</v>
      </c>
      <c r="D203" s="27">
        <f t="shared" si="14"/>
        <v>0</v>
      </c>
      <c r="E203" s="19">
        <f t="shared" si="15"/>
        <v>0</v>
      </c>
      <c r="F203" s="19">
        <f t="shared" si="16"/>
        <v>0</v>
      </c>
      <c r="G203" s="20">
        <f t="shared" si="17"/>
        <v>0</v>
      </c>
      <c r="H203" s="20">
        <v>0</v>
      </c>
      <c r="I203" s="20">
        <f t="shared" si="18"/>
        <v>0</v>
      </c>
      <c r="J203" s="20">
        <f t="shared" si="19"/>
        <v>0</v>
      </c>
      <c r="K203" s="18"/>
    </row>
    <row r="204" spans="1:11" x14ac:dyDescent="0.25">
      <c r="A204" s="25">
        <v>193</v>
      </c>
      <c r="B204" s="26">
        <v>50406</v>
      </c>
      <c r="C204" s="20">
        <f t="shared" si="20"/>
        <v>0</v>
      </c>
      <c r="D204" s="27">
        <f t="shared" si="14"/>
        <v>0</v>
      </c>
      <c r="E204" s="19">
        <f t="shared" si="15"/>
        <v>0</v>
      </c>
      <c r="F204" s="19">
        <f t="shared" si="16"/>
        <v>0</v>
      </c>
      <c r="G204" s="20">
        <f t="shared" si="17"/>
        <v>0</v>
      </c>
      <c r="H204" s="20">
        <v>0</v>
      </c>
      <c r="I204" s="20">
        <f t="shared" si="18"/>
        <v>0</v>
      </c>
      <c r="J204" s="20">
        <f t="shared" si="19"/>
        <v>0</v>
      </c>
      <c r="K204" s="18"/>
    </row>
    <row r="205" spans="1:11" x14ac:dyDescent="0.25">
      <c r="A205" s="25">
        <v>194</v>
      </c>
      <c r="B205" s="26">
        <v>50437</v>
      </c>
      <c r="C205" s="20">
        <f t="shared" si="20"/>
        <v>0</v>
      </c>
      <c r="D205" s="27">
        <f t="shared" ref="D205:D268" si="21">C205*$C$6</f>
        <v>0</v>
      </c>
      <c r="E205" s="19">
        <f t="shared" ref="E205:E268" si="22">C205+D205</f>
        <v>0</v>
      </c>
      <c r="F205" s="19">
        <f t="shared" ref="F205:F268" si="23">IF(C205&gt;0,$C$4/$C$8,0)</f>
        <v>0</v>
      </c>
      <c r="G205" s="20">
        <f t="shared" ref="G205:G268" si="24">IF(C205&gt;0,F205+D205,0)</f>
        <v>0</v>
      </c>
      <c r="H205" s="20">
        <v>0</v>
      </c>
      <c r="I205" s="20">
        <f t="shared" ref="I205:I268" si="25">IF(C205&gt;0,H205+G205,0)</f>
        <v>0</v>
      </c>
      <c r="J205" s="20">
        <f t="shared" ref="J205:J268" si="26">IF(E205-I205&gt;0,ROUND(E205-I205,2),0)</f>
        <v>0</v>
      </c>
      <c r="K205" s="18"/>
    </row>
    <row r="206" spans="1:11" x14ac:dyDescent="0.25">
      <c r="A206" s="25">
        <v>195</v>
      </c>
      <c r="B206" s="26">
        <v>50465</v>
      </c>
      <c r="C206" s="20">
        <f t="shared" ref="C206:C269" si="27">IF(J205&gt;0,J205,0)</f>
        <v>0</v>
      </c>
      <c r="D206" s="27">
        <f t="shared" si="21"/>
        <v>0</v>
      </c>
      <c r="E206" s="19">
        <f t="shared" si="22"/>
        <v>0</v>
      </c>
      <c r="F206" s="19">
        <f t="shared" si="23"/>
        <v>0</v>
      </c>
      <c r="G206" s="20">
        <f t="shared" si="24"/>
        <v>0</v>
      </c>
      <c r="H206" s="20">
        <v>0</v>
      </c>
      <c r="I206" s="20">
        <f t="shared" si="25"/>
        <v>0</v>
      </c>
      <c r="J206" s="20">
        <f t="shared" si="26"/>
        <v>0</v>
      </c>
      <c r="K206" s="18"/>
    </row>
    <row r="207" spans="1:11" x14ac:dyDescent="0.25">
      <c r="A207" s="25">
        <v>196</v>
      </c>
      <c r="B207" s="26">
        <v>50496</v>
      </c>
      <c r="C207" s="20">
        <f t="shared" si="27"/>
        <v>0</v>
      </c>
      <c r="D207" s="27">
        <f t="shared" si="21"/>
        <v>0</v>
      </c>
      <c r="E207" s="19">
        <f t="shared" si="22"/>
        <v>0</v>
      </c>
      <c r="F207" s="19">
        <f t="shared" si="23"/>
        <v>0</v>
      </c>
      <c r="G207" s="20">
        <f t="shared" si="24"/>
        <v>0</v>
      </c>
      <c r="H207" s="20">
        <v>0</v>
      </c>
      <c r="I207" s="20">
        <f t="shared" si="25"/>
        <v>0</v>
      </c>
      <c r="J207" s="20">
        <f t="shared" si="26"/>
        <v>0</v>
      </c>
      <c r="K207" s="18"/>
    </row>
    <row r="208" spans="1:11" x14ac:dyDescent="0.25">
      <c r="A208" s="25">
        <v>197</v>
      </c>
      <c r="B208" s="26">
        <v>50526</v>
      </c>
      <c r="C208" s="20">
        <f t="shared" si="27"/>
        <v>0</v>
      </c>
      <c r="D208" s="27">
        <f t="shared" si="21"/>
        <v>0</v>
      </c>
      <c r="E208" s="19">
        <f t="shared" si="22"/>
        <v>0</v>
      </c>
      <c r="F208" s="19">
        <f t="shared" si="23"/>
        <v>0</v>
      </c>
      <c r="G208" s="20">
        <f t="shared" si="24"/>
        <v>0</v>
      </c>
      <c r="H208" s="20">
        <v>0</v>
      </c>
      <c r="I208" s="20">
        <f t="shared" si="25"/>
        <v>0</v>
      </c>
      <c r="J208" s="20">
        <f t="shared" si="26"/>
        <v>0</v>
      </c>
      <c r="K208" s="18"/>
    </row>
    <row r="209" spans="1:11" x14ac:dyDescent="0.25">
      <c r="A209" s="25">
        <v>198</v>
      </c>
      <c r="B209" s="26">
        <v>50557</v>
      </c>
      <c r="C209" s="20">
        <f t="shared" si="27"/>
        <v>0</v>
      </c>
      <c r="D209" s="27">
        <f t="shared" si="21"/>
        <v>0</v>
      </c>
      <c r="E209" s="19">
        <f t="shared" si="22"/>
        <v>0</v>
      </c>
      <c r="F209" s="19">
        <f t="shared" si="23"/>
        <v>0</v>
      </c>
      <c r="G209" s="20">
        <f t="shared" si="24"/>
        <v>0</v>
      </c>
      <c r="H209" s="20">
        <v>0</v>
      </c>
      <c r="I209" s="20">
        <f t="shared" si="25"/>
        <v>0</v>
      </c>
      <c r="J209" s="20">
        <f t="shared" si="26"/>
        <v>0</v>
      </c>
      <c r="K209" s="18"/>
    </row>
    <row r="210" spans="1:11" x14ac:dyDescent="0.25">
      <c r="A210" s="25">
        <v>199</v>
      </c>
      <c r="B210" s="26">
        <v>50587</v>
      </c>
      <c r="C210" s="20">
        <f t="shared" si="27"/>
        <v>0</v>
      </c>
      <c r="D210" s="27">
        <f t="shared" si="21"/>
        <v>0</v>
      </c>
      <c r="E210" s="19">
        <f t="shared" si="22"/>
        <v>0</v>
      </c>
      <c r="F210" s="19">
        <f t="shared" si="23"/>
        <v>0</v>
      </c>
      <c r="G210" s="20">
        <f t="shared" si="24"/>
        <v>0</v>
      </c>
      <c r="H210" s="20">
        <v>0</v>
      </c>
      <c r="I210" s="20">
        <f t="shared" si="25"/>
        <v>0</v>
      </c>
      <c r="J210" s="20">
        <f t="shared" si="26"/>
        <v>0</v>
      </c>
      <c r="K210" s="18"/>
    </row>
    <row r="211" spans="1:11" x14ac:dyDescent="0.25">
      <c r="A211" s="25">
        <v>200</v>
      </c>
      <c r="B211" s="26">
        <v>50618</v>
      </c>
      <c r="C211" s="20">
        <f t="shared" si="27"/>
        <v>0</v>
      </c>
      <c r="D211" s="27">
        <f t="shared" si="21"/>
        <v>0</v>
      </c>
      <c r="E211" s="19">
        <f t="shared" si="22"/>
        <v>0</v>
      </c>
      <c r="F211" s="19">
        <f t="shared" si="23"/>
        <v>0</v>
      </c>
      <c r="G211" s="20">
        <f t="shared" si="24"/>
        <v>0</v>
      </c>
      <c r="H211" s="20">
        <v>0</v>
      </c>
      <c r="I211" s="20">
        <f t="shared" si="25"/>
        <v>0</v>
      </c>
      <c r="J211" s="20">
        <f t="shared" si="26"/>
        <v>0</v>
      </c>
      <c r="K211" s="18"/>
    </row>
    <row r="212" spans="1:11" x14ac:dyDescent="0.25">
      <c r="A212" s="25">
        <v>201</v>
      </c>
      <c r="B212" s="26">
        <v>50649</v>
      </c>
      <c r="C212" s="20">
        <f t="shared" si="27"/>
        <v>0</v>
      </c>
      <c r="D212" s="27">
        <f t="shared" si="21"/>
        <v>0</v>
      </c>
      <c r="E212" s="19">
        <f t="shared" si="22"/>
        <v>0</v>
      </c>
      <c r="F212" s="19">
        <f t="shared" si="23"/>
        <v>0</v>
      </c>
      <c r="G212" s="20">
        <f t="shared" si="24"/>
        <v>0</v>
      </c>
      <c r="H212" s="20">
        <v>0</v>
      </c>
      <c r="I212" s="20">
        <f t="shared" si="25"/>
        <v>0</v>
      </c>
      <c r="J212" s="20">
        <f t="shared" si="26"/>
        <v>0</v>
      </c>
      <c r="K212" s="18"/>
    </row>
    <row r="213" spans="1:11" x14ac:dyDescent="0.25">
      <c r="A213" s="25">
        <v>202</v>
      </c>
      <c r="B213" s="26">
        <v>50679</v>
      </c>
      <c r="C213" s="20">
        <f t="shared" si="27"/>
        <v>0</v>
      </c>
      <c r="D213" s="27">
        <f t="shared" si="21"/>
        <v>0</v>
      </c>
      <c r="E213" s="19">
        <f t="shared" si="22"/>
        <v>0</v>
      </c>
      <c r="F213" s="19">
        <f t="shared" si="23"/>
        <v>0</v>
      </c>
      <c r="G213" s="20">
        <f t="shared" si="24"/>
        <v>0</v>
      </c>
      <c r="H213" s="20">
        <v>0</v>
      </c>
      <c r="I213" s="20">
        <f t="shared" si="25"/>
        <v>0</v>
      </c>
      <c r="J213" s="20">
        <f t="shared" si="26"/>
        <v>0</v>
      </c>
      <c r="K213" s="18"/>
    </row>
    <row r="214" spans="1:11" x14ac:dyDescent="0.25">
      <c r="A214" s="25">
        <v>203</v>
      </c>
      <c r="B214" s="26">
        <v>50710</v>
      </c>
      <c r="C214" s="20">
        <f t="shared" si="27"/>
        <v>0</v>
      </c>
      <c r="D214" s="27">
        <f t="shared" si="21"/>
        <v>0</v>
      </c>
      <c r="E214" s="19">
        <f t="shared" si="22"/>
        <v>0</v>
      </c>
      <c r="F214" s="19">
        <f t="shared" si="23"/>
        <v>0</v>
      </c>
      <c r="G214" s="20">
        <f t="shared" si="24"/>
        <v>0</v>
      </c>
      <c r="H214" s="20">
        <v>0</v>
      </c>
      <c r="I214" s="20">
        <f t="shared" si="25"/>
        <v>0</v>
      </c>
      <c r="J214" s="20">
        <f t="shared" si="26"/>
        <v>0</v>
      </c>
      <c r="K214" s="18"/>
    </row>
    <row r="215" spans="1:11" x14ac:dyDescent="0.25">
      <c r="A215" s="25">
        <v>204</v>
      </c>
      <c r="B215" s="26">
        <v>50740</v>
      </c>
      <c r="C215" s="20">
        <f t="shared" si="27"/>
        <v>0</v>
      </c>
      <c r="D215" s="27">
        <f t="shared" si="21"/>
        <v>0</v>
      </c>
      <c r="E215" s="19">
        <f t="shared" si="22"/>
        <v>0</v>
      </c>
      <c r="F215" s="19">
        <f t="shared" si="23"/>
        <v>0</v>
      </c>
      <c r="G215" s="20">
        <f t="shared" si="24"/>
        <v>0</v>
      </c>
      <c r="H215" s="20">
        <v>0</v>
      </c>
      <c r="I215" s="20">
        <f t="shared" si="25"/>
        <v>0</v>
      </c>
      <c r="J215" s="20">
        <f t="shared" si="26"/>
        <v>0</v>
      </c>
      <c r="K215" s="18"/>
    </row>
    <row r="216" spans="1:11" x14ac:dyDescent="0.25">
      <c r="A216" s="25">
        <v>205</v>
      </c>
      <c r="B216" s="26">
        <v>50771</v>
      </c>
      <c r="C216" s="20">
        <f t="shared" si="27"/>
        <v>0</v>
      </c>
      <c r="D216" s="27">
        <f t="shared" si="21"/>
        <v>0</v>
      </c>
      <c r="E216" s="19">
        <f t="shared" si="22"/>
        <v>0</v>
      </c>
      <c r="F216" s="19">
        <f t="shared" si="23"/>
        <v>0</v>
      </c>
      <c r="G216" s="20">
        <f t="shared" si="24"/>
        <v>0</v>
      </c>
      <c r="H216" s="20">
        <v>0</v>
      </c>
      <c r="I216" s="20">
        <f t="shared" si="25"/>
        <v>0</v>
      </c>
      <c r="J216" s="20">
        <f t="shared" si="26"/>
        <v>0</v>
      </c>
      <c r="K216" s="18"/>
    </row>
    <row r="217" spans="1:11" x14ac:dyDescent="0.25">
      <c r="A217" s="25">
        <v>206</v>
      </c>
      <c r="B217" s="26">
        <v>50802</v>
      </c>
      <c r="C217" s="20">
        <f t="shared" si="27"/>
        <v>0</v>
      </c>
      <c r="D217" s="27">
        <f t="shared" si="21"/>
        <v>0</v>
      </c>
      <c r="E217" s="19">
        <f t="shared" si="22"/>
        <v>0</v>
      </c>
      <c r="F217" s="19">
        <f t="shared" si="23"/>
        <v>0</v>
      </c>
      <c r="G217" s="20">
        <f t="shared" si="24"/>
        <v>0</v>
      </c>
      <c r="H217" s="20">
        <v>0</v>
      </c>
      <c r="I217" s="20">
        <f t="shared" si="25"/>
        <v>0</v>
      </c>
      <c r="J217" s="20">
        <f t="shared" si="26"/>
        <v>0</v>
      </c>
      <c r="K217" s="18"/>
    </row>
    <row r="218" spans="1:11" x14ac:dyDescent="0.25">
      <c r="A218" s="25">
        <v>207</v>
      </c>
      <c r="B218" s="26">
        <v>50830</v>
      </c>
      <c r="C218" s="20">
        <f t="shared" si="27"/>
        <v>0</v>
      </c>
      <c r="D218" s="27">
        <f t="shared" si="21"/>
        <v>0</v>
      </c>
      <c r="E218" s="19">
        <f t="shared" si="22"/>
        <v>0</v>
      </c>
      <c r="F218" s="19">
        <f t="shared" si="23"/>
        <v>0</v>
      </c>
      <c r="G218" s="20">
        <f t="shared" si="24"/>
        <v>0</v>
      </c>
      <c r="H218" s="20">
        <v>0</v>
      </c>
      <c r="I218" s="20">
        <f t="shared" si="25"/>
        <v>0</v>
      </c>
      <c r="J218" s="20">
        <f t="shared" si="26"/>
        <v>0</v>
      </c>
      <c r="K218" s="18"/>
    </row>
    <row r="219" spans="1:11" x14ac:dyDescent="0.25">
      <c r="A219" s="25">
        <v>208</v>
      </c>
      <c r="B219" s="26">
        <v>50861</v>
      </c>
      <c r="C219" s="20">
        <f t="shared" si="27"/>
        <v>0</v>
      </c>
      <c r="D219" s="27">
        <f t="shared" si="21"/>
        <v>0</v>
      </c>
      <c r="E219" s="19">
        <f t="shared" si="22"/>
        <v>0</v>
      </c>
      <c r="F219" s="19">
        <f t="shared" si="23"/>
        <v>0</v>
      </c>
      <c r="G219" s="20">
        <f t="shared" si="24"/>
        <v>0</v>
      </c>
      <c r="H219" s="20">
        <v>0</v>
      </c>
      <c r="I219" s="20">
        <f t="shared" si="25"/>
        <v>0</v>
      </c>
      <c r="J219" s="20">
        <f t="shared" si="26"/>
        <v>0</v>
      </c>
      <c r="K219" s="18"/>
    </row>
    <row r="220" spans="1:11" x14ac:dyDescent="0.25">
      <c r="A220" s="25">
        <v>209</v>
      </c>
      <c r="B220" s="26">
        <v>50891</v>
      </c>
      <c r="C220" s="20">
        <f t="shared" si="27"/>
        <v>0</v>
      </c>
      <c r="D220" s="27">
        <f t="shared" si="21"/>
        <v>0</v>
      </c>
      <c r="E220" s="19">
        <f t="shared" si="22"/>
        <v>0</v>
      </c>
      <c r="F220" s="19">
        <f t="shared" si="23"/>
        <v>0</v>
      </c>
      <c r="G220" s="20">
        <f t="shared" si="24"/>
        <v>0</v>
      </c>
      <c r="H220" s="20">
        <v>0</v>
      </c>
      <c r="I220" s="20">
        <f t="shared" si="25"/>
        <v>0</v>
      </c>
      <c r="J220" s="20">
        <f t="shared" si="26"/>
        <v>0</v>
      </c>
      <c r="K220" s="18"/>
    </row>
    <row r="221" spans="1:11" x14ac:dyDescent="0.25">
      <c r="A221" s="25">
        <v>210</v>
      </c>
      <c r="B221" s="26">
        <v>50922</v>
      </c>
      <c r="C221" s="20">
        <f t="shared" si="27"/>
        <v>0</v>
      </c>
      <c r="D221" s="27">
        <f t="shared" si="21"/>
        <v>0</v>
      </c>
      <c r="E221" s="19">
        <f t="shared" si="22"/>
        <v>0</v>
      </c>
      <c r="F221" s="19">
        <f t="shared" si="23"/>
        <v>0</v>
      </c>
      <c r="G221" s="20">
        <f t="shared" si="24"/>
        <v>0</v>
      </c>
      <c r="H221" s="20">
        <v>0</v>
      </c>
      <c r="I221" s="20">
        <f t="shared" si="25"/>
        <v>0</v>
      </c>
      <c r="J221" s="20">
        <f t="shared" si="26"/>
        <v>0</v>
      </c>
      <c r="K221" s="18"/>
    </row>
    <row r="222" spans="1:11" x14ac:dyDescent="0.25">
      <c r="A222" s="25">
        <v>211</v>
      </c>
      <c r="B222" s="26">
        <v>50952</v>
      </c>
      <c r="C222" s="20">
        <f t="shared" si="27"/>
        <v>0</v>
      </c>
      <c r="D222" s="27">
        <f t="shared" si="21"/>
        <v>0</v>
      </c>
      <c r="E222" s="19">
        <f t="shared" si="22"/>
        <v>0</v>
      </c>
      <c r="F222" s="19">
        <f t="shared" si="23"/>
        <v>0</v>
      </c>
      <c r="G222" s="20">
        <f t="shared" si="24"/>
        <v>0</v>
      </c>
      <c r="H222" s="20">
        <v>0</v>
      </c>
      <c r="I222" s="20">
        <f t="shared" si="25"/>
        <v>0</v>
      </c>
      <c r="J222" s="20">
        <f t="shared" si="26"/>
        <v>0</v>
      </c>
      <c r="K222" s="18"/>
    </row>
    <row r="223" spans="1:11" x14ac:dyDescent="0.25">
      <c r="A223" s="25">
        <v>212</v>
      </c>
      <c r="B223" s="26">
        <v>50983</v>
      </c>
      <c r="C223" s="20">
        <f t="shared" si="27"/>
        <v>0</v>
      </c>
      <c r="D223" s="27">
        <f t="shared" si="21"/>
        <v>0</v>
      </c>
      <c r="E223" s="19">
        <f t="shared" si="22"/>
        <v>0</v>
      </c>
      <c r="F223" s="19">
        <f t="shared" si="23"/>
        <v>0</v>
      </c>
      <c r="G223" s="20">
        <f t="shared" si="24"/>
        <v>0</v>
      </c>
      <c r="H223" s="20">
        <v>0</v>
      </c>
      <c r="I223" s="20">
        <f t="shared" si="25"/>
        <v>0</v>
      </c>
      <c r="J223" s="20">
        <f t="shared" si="26"/>
        <v>0</v>
      </c>
      <c r="K223" s="18"/>
    </row>
    <row r="224" spans="1:11" x14ac:dyDescent="0.25">
      <c r="A224" s="25">
        <v>213</v>
      </c>
      <c r="B224" s="26">
        <v>51014</v>
      </c>
      <c r="C224" s="20">
        <f t="shared" si="27"/>
        <v>0</v>
      </c>
      <c r="D224" s="27">
        <f t="shared" si="21"/>
        <v>0</v>
      </c>
      <c r="E224" s="19">
        <f t="shared" si="22"/>
        <v>0</v>
      </c>
      <c r="F224" s="19">
        <f t="shared" si="23"/>
        <v>0</v>
      </c>
      <c r="G224" s="20">
        <f t="shared" si="24"/>
        <v>0</v>
      </c>
      <c r="H224" s="20">
        <v>0</v>
      </c>
      <c r="I224" s="20">
        <f t="shared" si="25"/>
        <v>0</v>
      </c>
      <c r="J224" s="20">
        <f t="shared" si="26"/>
        <v>0</v>
      </c>
      <c r="K224" s="18"/>
    </row>
    <row r="225" spans="1:11" x14ac:dyDescent="0.25">
      <c r="A225" s="25">
        <v>214</v>
      </c>
      <c r="B225" s="26">
        <v>51044</v>
      </c>
      <c r="C225" s="20">
        <f t="shared" si="27"/>
        <v>0</v>
      </c>
      <c r="D225" s="27">
        <f t="shared" si="21"/>
        <v>0</v>
      </c>
      <c r="E225" s="19">
        <f t="shared" si="22"/>
        <v>0</v>
      </c>
      <c r="F225" s="19">
        <f t="shared" si="23"/>
        <v>0</v>
      </c>
      <c r="G225" s="20">
        <f t="shared" si="24"/>
        <v>0</v>
      </c>
      <c r="H225" s="20">
        <v>0</v>
      </c>
      <c r="I225" s="20">
        <f t="shared" si="25"/>
        <v>0</v>
      </c>
      <c r="J225" s="20">
        <f t="shared" si="26"/>
        <v>0</v>
      </c>
      <c r="K225" s="18"/>
    </row>
    <row r="226" spans="1:11" x14ac:dyDescent="0.25">
      <c r="A226" s="25">
        <v>215</v>
      </c>
      <c r="B226" s="26">
        <v>51075</v>
      </c>
      <c r="C226" s="20">
        <f t="shared" si="27"/>
        <v>0</v>
      </c>
      <c r="D226" s="27">
        <f t="shared" si="21"/>
        <v>0</v>
      </c>
      <c r="E226" s="19">
        <f t="shared" si="22"/>
        <v>0</v>
      </c>
      <c r="F226" s="19">
        <f t="shared" si="23"/>
        <v>0</v>
      </c>
      <c r="G226" s="20">
        <f t="shared" si="24"/>
        <v>0</v>
      </c>
      <c r="H226" s="20">
        <v>0</v>
      </c>
      <c r="I226" s="20">
        <f t="shared" si="25"/>
        <v>0</v>
      </c>
      <c r="J226" s="20">
        <f t="shared" si="26"/>
        <v>0</v>
      </c>
      <c r="K226" s="18"/>
    </row>
    <row r="227" spans="1:11" x14ac:dyDescent="0.25">
      <c r="A227" s="25">
        <v>216</v>
      </c>
      <c r="B227" s="26">
        <v>51105</v>
      </c>
      <c r="C227" s="20">
        <f t="shared" si="27"/>
        <v>0</v>
      </c>
      <c r="D227" s="27">
        <f t="shared" si="21"/>
        <v>0</v>
      </c>
      <c r="E227" s="19">
        <f t="shared" si="22"/>
        <v>0</v>
      </c>
      <c r="F227" s="19">
        <f t="shared" si="23"/>
        <v>0</v>
      </c>
      <c r="G227" s="20">
        <f t="shared" si="24"/>
        <v>0</v>
      </c>
      <c r="H227" s="20">
        <v>0</v>
      </c>
      <c r="I227" s="20">
        <f t="shared" si="25"/>
        <v>0</v>
      </c>
      <c r="J227" s="20">
        <f t="shared" si="26"/>
        <v>0</v>
      </c>
      <c r="K227" s="18"/>
    </row>
    <row r="228" spans="1:11" x14ac:dyDescent="0.25">
      <c r="A228" s="25">
        <v>217</v>
      </c>
      <c r="B228" s="26">
        <v>51136</v>
      </c>
      <c r="C228" s="20">
        <f t="shared" si="27"/>
        <v>0</v>
      </c>
      <c r="D228" s="27">
        <f t="shared" si="21"/>
        <v>0</v>
      </c>
      <c r="E228" s="19">
        <f t="shared" si="22"/>
        <v>0</v>
      </c>
      <c r="F228" s="19">
        <f t="shared" si="23"/>
        <v>0</v>
      </c>
      <c r="G228" s="20">
        <f t="shared" si="24"/>
        <v>0</v>
      </c>
      <c r="H228" s="20">
        <v>0</v>
      </c>
      <c r="I228" s="20">
        <f t="shared" si="25"/>
        <v>0</v>
      </c>
      <c r="J228" s="20">
        <f t="shared" si="26"/>
        <v>0</v>
      </c>
      <c r="K228" s="18"/>
    </row>
    <row r="229" spans="1:11" x14ac:dyDescent="0.25">
      <c r="A229" s="25">
        <v>218</v>
      </c>
      <c r="B229" s="26">
        <v>51167</v>
      </c>
      <c r="C229" s="20">
        <f t="shared" si="27"/>
        <v>0</v>
      </c>
      <c r="D229" s="27">
        <f t="shared" si="21"/>
        <v>0</v>
      </c>
      <c r="E229" s="19">
        <f t="shared" si="22"/>
        <v>0</v>
      </c>
      <c r="F229" s="19">
        <f t="shared" si="23"/>
        <v>0</v>
      </c>
      <c r="G229" s="20">
        <f t="shared" si="24"/>
        <v>0</v>
      </c>
      <c r="H229" s="20">
        <v>0</v>
      </c>
      <c r="I229" s="20">
        <f t="shared" si="25"/>
        <v>0</v>
      </c>
      <c r="J229" s="20">
        <f t="shared" si="26"/>
        <v>0</v>
      </c>
      <c r="K229" s="18"/>
    </row>
    <row r="230" spans="1:11" x14ac:dyDescent="0.25">
      <c r="A230" s="25">
        <v>219</v>
      </c>
      <c r="B230" s="26">
        <v>51196</v>
      </c>
      <c r="C230" s="20">
        <f t="shared" si="27"/>
        <v>0</v>
      </c>
      <c r="D230" s="27">
        <f t="shared" si="21"/>
        <v>0</v>
      </c>
      <c r="E230" s="19">
        <f t="shared" si="22"/>
        <v>0</v>
      </c>
      <c r="F230" s="19">
        <f t="shared" si="23"/>
        <v>0</v>
      </c>
      <c r="G230" s="20">
        <f t="shared" si="24"/>
        <v>0</v>
      </c>
      <c r="H230" s="20">
        <v>0</v>
      </c>
      <c r="I230" s="20">
        <f t="shared" si="25"/>
        <v>0</v>
      </c>
      <c r="J230" s="20">
        <f t="shared" si="26"/>
        <v>0</v>
      </c>
      <c r="K230" s="18"/>
    </row>
    <row r="231" spans="1:11" x14ac:dyDescent="0.25">
      <c r="A231" s="25">
        <v>220</v>
      </c>
      <c r="B231" s="26">
        <v>51227</v>
      </c>
      <c r="C231" s="20">
        <f t="shared" si="27"/>
        <v>0</v>
      </c>
      <c r="D231" s="27">
        <f t="shared" si="21"/>
        <v>0</v>
      </c>
      <c r="E231" s="19">
        <f t="shared" si="22"/>
        <v>0</v>
      </c>
      <c r="F231" s="19">
        <f t="shared" si="23"/>
        <v>0</v>
      </c>
      <c r="G231" s="20">
        <f t="shared" si="24"/>
        <v>0</v>
      </c>
      <c r="H231" s="20">
        <v>0</v>
      </c>
      <c r="I231" s="20">
        <f t="shared" si="25"/>
        <v>0</v>
      </c>
      <c r="J231" s="20">
        <f t="shared" si="26"/>
        <v>0</v>
      </c>
      <c r="K231" s="18"/>
    </row>
    <row r="232" spans="1:11" x14ac:dyDescent="0.25">
      <c r="A232" s="25">
        <v>221</v>
      </c>
      <c r="B232" s="26">
        <v>51257</v>
      </c>
      <c r="C232" s="20">
        <f t="shared" si="27"/>
        <v>0</v>
      </c>
      <c r="D232" s="27">
        <f t="shared" si="21"/>
        <v>0</v>
      </c>
      <c r="E232" s="19">
        <f t="shared" si="22"/>
        <v>0</v>
      </c>
      <c r="F232" s="19">
        <f t="shared" si="23"/>
        <v>0</v>
      </c>
      <c r="G232" s="20">
        <f t="shared" si="24"/>
        <v>0</v>
      </c>
      <c r="H232" s="20">
        <v>0</v>
      </c>
      <c r="I232" s="20">
        <f t="shared" si="25"/>
        <v>0</v>
      </c>
      <c r="J232" s="20">
        <f t="shared" si="26"/>
        <v>0</v>
      </c>
      <c r="K232" s="18"/>
    </row>
    <row r="233" spans="1:11" x14ac:dyDescent="0.25">
      <c r="A233" s="25">
        <v>222</v>
      </c>
      <c r="B233" s="26">
        <v>51288</v>
      </c>
      <c r="C233" s="20">
        <f t="shared" si="27"/>
        <v>0</v>
      </c>
      <c r="D233" s="27">
        <f t="shared" si="21"/>
        <v>0</v>
      </c>
      <c r="E233" s="19">
        <f t="shared" si="22"/>
        <v>0</v>
      </c>
      <c r="F233" s="19">
        <f t="shared" si="23"/>
        <v>0</v>
      </c>
      <c r="G233" s="20">
        <f t="shared" si="24"/>
        <v>0</v>
      </c>
      <c r="H233" s="20">
        <v>0</v>
      </c>
      <c r="I233" s="20">
        <f t="shared" si="25"/>
        <v>0</v>
      </c>
      <c r="J233" s="20">
        <f t="shared" si="26"/>
        <v>0</v>
      </c>
      <c r="K233" s="18"/>
    </row>
    <row r="234" spans="1:11" x14ac:dyDescent="0.25">
      <c r="A234" s="25">
        <v>223</v>
      </c>
      <c r="B234" s="26">
        <v>51318</v>
      </c>
      <c r="C234" s="20">
        <f t="shared" si="27"/>
        <v>0</v>
      </c>
      <c r="D234" s="27">
        <f t="shared" si="21"/>
        <v>0</v>
      </c>
      <c r="E234" s="19">
        <f t="shared" si="22"/>
        <v>0</v>
      </c>
      <c r="F234" s="19">
        <f t="shared" si="23"/>
        <v>0</v>
      </c>
      <c r="G234" s="20">
        <f t="shared" si="24"/>
        <v>0</v>
      </c>
      <c r="H234" s="20">
        <v>0</v>
      </c>
      <c r="I234" s="20">
        <f t="shared" si="25"/>
        <v>0</v>
      </c>
      <c r="J234" s="20">
        <f t="shared" si="26"/>
        <v>0</v>
      </c>
      <c r="K234" s="18"/>
    </row>
    <row r="235" spans="1:11" x14ac:dyDescent="0.25">
      <c r="A235" s="25">
        <v>224</v>
      </c>
      <c r="B235" s="26">
        <v>51349</v>
      </c>
      <c r="C235" s="20">
        <f t="shared" si="27"/>
        <v>0</v>
      </c>
      <c r="D235" s="27">
        <f t="shared" si="21"/>
        <v>0</v>
      </c>
      <c r="E235" s="19">
        <f t="shared" si="22"/>
        <v>0</v>
      </c>
      <c r="F235" s="19">
        <f t="shared" si="23"/>
        <v>0</v>
      </c>
      <c r="G235" s="20">
        <f t="shared" si="24"/>
        <v>0</v>
      </c>
      <c r="H235" s="20">
        <v>0</v>
      </c>
      <c r="I235" s="20">
        <f t="shared" si="25"/>
        <v>0</v>
      </c>
      <c r="J235" s="20">
        <f t="shared" si="26"/>
        <v>0</v>
      </c>
      <c r="K235" s="18"/>
    </row>
    <row r="236" spans="1:11" x14ac:dyDescent="0.25">
      <c r="A236" s="25">
        <v>225</v>
      </c>
      <c r="B236" s="26">
        <v>51380</v>
      </c>
      <c r="C236" s="20">
        <f t="shared" si="27"/>
        <v>0</v>
      </c>
      <c r="D236" s="27">
        <f t="shared" si="21"/>
        <v>0</v>
      </c>
      <c r="E236" s="19">
        <f t="shared" si="22"/>
        <v>0</v>
      </c>
      <c r="F236" s="19">
        <f t="shared" si="23"/>
        <v>0</v>
      </c>
      <c r="G236" s="20">
        <f t="shared" si="24"/>
        <v>0</v>
      </c>
      <c r="H236" s="20">
        <v>0</v>
      </c>
      <c r="I236" s="20">
        <f t="shared" si="25"/>
        <v>0</v>
      </c>
      <c r="J236" s="20">
        <f t="shared" si="26"/>
        <v>0</v>
      </c>
      <c r="K236" s="18"/>
    </row>
    <row r="237" spans="1:11" x14ac:dyDescent="0.25">
      <c r="A237" s="25">
        <v>226</v>
      </c>
      <c r="B237" s="26">
        <v>51410</v>
      </c>
      <c r="C237" s="20">
        <f t="shared" si="27"/>
        <v>0</v>
      </c>
      <c r="D237" s="27">
        <f t="shared" si="21"/>
        <v>0</v>
      </c>
      <c r="E237" s="19">
        <f t="shared" si="22"/>
        <v>0</v>
      </c>
      <c r="F237" s="19">
        <f t="shared" si="23"/>
        <v>0</v>
      </c>
      <c r="G237" s="20">
        <f t="shared" si="24"/>
        <v>0</v>
      </c>
      <c r="H237" s="20">
        <v>0</v>
      </c>
      <c r="I237" s="20">
        <f t="shared" si="25"/>
        <v>0</v>
      </c>
      <c r="J237" s="20">
        <f t="shared" si="26"/>
        <v>0</v>
      </c>
      <c r="K237" s="18"/>
    </row>
    <row r="238" spans="1:11" x14ac:dyDescent="0.25">
      <c r="A238" s="25">
        <v>227</v>
      </c>
      <c r="B238" s="26">
        <v>51441</v>
      </c>
      <c r="C238" s="20">
        <f t="shared" si="27"/>
        <v>0</v>
      </c>
      <c r="D238" s="27">
        <f t="shared" si="21"/>
        <v>0</v>
      </c>
      <c r="E238" s="19">
        <f t="shared" si="22"/>
        <v>0</v>
      </c>
      <c r="F238" s="19">
        <f t="shared" si="23"/>
        <v>0</v>
      </c>
      <c r="G238" s="20">
        <f t="shared" si="24"/>
        <v>0</v>
      </c>
      <c r="H238" s="20">
        <v>0</v>
      </c>
      <c r="I238" s="20">
        <f t="shared" si="25"/>
        <v>0</v>
      </c>
      <c r="J238" s="20">
        <f t="shared" si="26"/>
        <v>0</v>
      </c>
      <c r="K238" s="18"/>
    </row>
    <row r="239" spans="1:11" x14ac:dyDescent="0.25">
      <c r="A239" s="25">
        <v>228</v>
      </c>
      <c r="B239" s="26">
        <v>51471</v>
      </c>
      <c r="C239" s="20">
        <f t="shared" si="27"/>
        <v>0</v>
      </c>
      <c r="D239" s="27">
        <f t="shared" si="21"/>
        <v>0</v>
      </c>
      <c r="E239" s="19">
        <f t="shared" si="22"/>
        <v>0</v>
      </c>
      <c r="F239" s="19">
        <f t="shared" si="23"/>
        <v>0</v>
      </c>
      <c r="G239" s="20">
        <f t="shared" si="24"/>
        <v>0</v>
      </c>
      <c r="H239" s="20">
        <v>0</v>
      </c>
      <c r="I239" s="20">
        <f t="shared" si="25"/>
        <v>0</v>
      </c>
      <c r="J239" s="20">
        <f t="shared" si="26"/>
        <v>0</v>
      </c>
      <c r="K239" s="18"/>
    </row>
    <row r="240" spans="1:11" x14ac:dyDescent="0.25">
      <c r="A240" s="25">
        <v>229</v>
      </c>
      <c r="B240" s="26">
        <v>51502</v>
      </c>
      <c r="C240" s="20">
        <f t="shared" si="27"/>
        <v>0</v>
      </c>
      <c r="D240" s="27">
        <f t="shared" si="21"/>
        <v>0</v>
      </c>
      <c r="E240" s="19">
        <f t="shared" si="22"/>
        <v>0</v>
      </c>
      <c r="F240" s="19">
        <f t="shared" si="23"/>
        <v>0</v>
      </c>
      <c r="G240" s="20">
        <f t="shared" si="24"/>
        <v>0</v>
      </c>
      <c r="H240" s="20">
        <v>0</v>
      </c>
      <c r="I240" s="20">
        <f t="shared" si="25"/>
        <v>0</v>
      </c>
      <c r="J240" s="20">
        <f t="shared" si="26"/>
        <v>0</v>
      </c>
      <c r="K240" s="18"/>
    </row>
    <row r="241" spans="1:11" x14ac:dyDescent="0.25">
      <c r="A241" s="25">
        <v>230</v>
      </c>
      <c r="B241" s="26">
        <v>51533</v>
      </c>
      <c r="C241" s="20">
        <f t="shared" si="27"/>
        <v>0</v>
      </c>
      <c r="D241" s="27">
        <f t="shared" si="21"/>
        <v>0</v>
      </c>
      <c r="E241" s="19">
        <f t="shared" si="22"/>
        <v>0</v>
      </c>
      <c r="F241" s="19">
        <f t="shared" si="23"/>
        <v>0</v>
      </c>
      <c r="G241" s="20">
        <f t="shared" si="24"/>
        <v>0</v>
      </c>
      <c r="H241" s="20">
        <v>0</v>
      </c>
      <c r="I241" s="20">
        <f t="shared" si="25"/>
        <v>0</v>
      </c>
      <c r="J241" s="20">
        <f t="shared" si="26"/>
        <v>0</v>
      </c>
      <c r="K241" s="18"/>
    </row>
    <row r="242" spans="1:11" x14ac:dyDescent="0.25">
      <c r="A242" s="25">
        <v>231</v>
      </c>
      <c r="B242" s="26">
        <v>51561</v>
      </c>
      <c r="C242" s="20">
        <f t="shared" si="27"/>
        <v>0</v>
      </c>
      <c r="D242" s="27">
        <f t="shared" si="21"/>
        <v>0</v>
      </c>
      <c r="E242" s="19">
        <f t="shared" si="22"/>
        <v>0</v>
      </c>
      <c r="F242" s="19">
        <f t="shared" si="23"/>
        <v>0</v>
      </c>
      <c r="G242" s="20">
        <f t="shared" si="24"/>
        <v>0</v>
      </c>
      <c r="H242" s="20">
        <v>0</v>
      </c>
      <c r="I242" s="20">
        <f t="shared" si="25"/>
        <v>0</v>
      </c>
      <c r="J242" s="20">
        <f t="shared" si="26"/>
        <v>0</v>
      </c>
      <c r="K242" s="18"/>
    </row>
    <row r="243" spans="1:11" x14ac:dyDescent="0.25">
      <c r="A243" s="25">
        <v>232</v>
      </c>
      <c r="B243" s="26">
        <v>51592</v>
      </c>
      <c r="C243" s="20">
        <f t="shared" si="27"/>
        <v>0</v>
      </c>
      <c r="D243" s="27">
        <f t="shared" si="21"/>
        <v>0</v>
      </c>
      <c r="E243" s="19">
        <f t="shared" si="22"/>
        <v>0</v>
      </c>
      <c r="F243" s="19">
        <f t="shared" si="23"/>
        <v>0</v>
      </c>
      <c r="G243" s="20">
        <f t="shared" si="24"/>
        <v>0</v>
      </c>
      <c r="H243" s="20">
        <v>0</v>
      </c>
      <c r="I243" s="20">
        <f t="shared" si="25"/>
        <v>0</v>
      </c>
      <c r="J243" s="20">
        <f t="shared" si="26"/>
        <v>0</v>
      </c>
      <c r="K243" s="18"/>
    </row>
    <row r="244" spans="1:11" x14ac:dyDescent="0.25">
      <c r="A244" s="25">
        <v>233</v>
      </c>
      <c r="B244" s="26">
        <v>51622</v>
      </c>
      <c r="C244" s="20">
        <f t="shared" si="27"/>
        <v>0</v>
      </c>
      <c r="D244" s="27">
        <f t="shared" si="21"/>
        <v>0</v>
      </c>
      <c r="E244" s="19">
        <f t="shared" si="22"/>
        <v>0</v>
      </c>
      <c r="F244" s="19">
        <f t="shared" si="23"/>
        <v>0</v>
      </c>
      <c r="G244" s="20">
        <f t="shared" si="24"/>
        <v>0</v>
      </c>
      <c r="H244" s="20">
        <v>0</v>
      </c>
      <c r="I244" s="20">
        <f t="shared" si="25"/>
        <v>0</v>
      </c>
      <c r="J244" s="20">
        <f t="shared" si="26"/>
        <v>0</v>
      </c>
      <c r="K244" s="18"/>
    </row>
    <row r="245" spans="1:11" x14ac:dyDescent="0.25">
      <c r="A245" s="25">
        <v>234</v>
      </c>
      <c r="B245" s="26">
        <v>51653</v>
      </c>
      <c r="C245" s="20">
        <f t="shared" si="27"/>
        <v>0</v>
      </c>
      <c r="D245" s="27">
        <f t="shared" si="21"/>
        <v>0</v>
      </c>
      <c r="E245" s="19">
        <f t="shared" si="22"/>
        <v>0</v>
      </c>
      <c r="F245" s="19">
        <f t="shared" si="23"/>
        <v>0</v>
      </c>
      <c r="G245" s="20">
        <f t="shared" si="24"/>
        <v>0</v>
      </c>
      <c r="H245" s="20">
        <v>0</v>
      </c>
      <c r="I245" s="20">
        <f t="shared" si="25"/>
        <v>0</v>
      </c>
      <c r="J245" s="20">
        <f t="shared" si="26"/>
        <v>0</v>
      </c>
      <c r="K245" s="18"/>
    </row>
    <row r="246" spans="1:11" x14ac:dyDescent="0.25">
      <c r="A246" s="25">
        <v>235</v>
      </c>
      <c r="B246" s="26">
        <v>51683</v>
      </c>
      <c r="C246" s="20">
        <f t="shared" si="27"/>
        <v>0</v>
      </c>
      <c r="D246" s="27">
        <f t="shared" si="21"/>
        <v>0</v>
      </c>
      <c r="E246" s="19">
        <f t="shared" si="22"/>
        <v>0</v>
      </c>
      <c r="F246" s="19">
        <f t="shared" si="23"/>
        <v>0</v>
      </c>
      <c r="G246" s="20">
        <f t="shared" si="24"/>
        <v>0</v>
      </c>
      <c r="H246" s="20">
        <v>0</v>
      </c>
      <c r="I246" s="20">
        <f t="shared" si="25"/>
        <v>0</v>
      </c>
      <c r="J246" s="20">
        <f t="shared" si="26"/>
        <v>0</v>
      </c>
      <c r="K246" s="18"/>
    </row>
    <row r="247" spans="1:11" x14ac:dyDescent="0.25">
      <c r="A247" s="25">
        <v>236</v>
      </c>
      <c r="B247" s="26">
        <v>51714</v>
      </c>
      <c r="C247" s="20">
        <f t="shared" si="27"/>
        <v>0</v>
      </c>
      <c r="D247" s="27">
        <f t="shared" si="21"/>
        <v>0</v>
      </c>
      <c r="E247" s="19">
        <f t="shared" si="22"/>
        <v>0</v>
      </c>
      <c r="F247" s="19">
        <f t="shared" si="23"/>
        <v>0</v>
      </c>
      <c r="G247" s="20">
        <f t="shared" si="24"/>
        <v>0</v>
      </c>
      <c r="H247" s="20">
        <v>0</v>
      </c>
      <c r="I247" s="20">
        <f t="shared" si="25"/>
        <v>0</v>
      </c>
      <c r="J247" s="20">
        <f t="shared" si="26"/>
        <v>0</v>
      </c>
      <c r="K247" s="18"/>
    </row>
    <row r="248" spans="1:11" x14ac:dyDescent="0.25">
      <c r="A248" s="25">
        <v>237</v>
      </c>
      <c r="B248" s="26">
        <v>51745</v>
      </c>
      <c r="C248" s="20">
        <f t="shared" si="27"/>
        <v>0</v>
      </c>
      <c r="D248" s="27">
        <f t="shared" si="21"/>
        <v>0</v>
      </c>
      <c r="E248" s="19">
        <f t="shared" si="22"/>
        <v>0</v>
      </c>
      <c r="F248" s="19">
        <f t="shared" si="23"/>
        <v>0</v>
      </c>
      <c r="G248" s="20">
        <f t="shared" si="24"/>
        <v>0</v>
      </c>
      <c r="H248" s="20">
        <v>0</v>
      </c>
      <c r="I248" s="20">
        <f t="shared" si="25"/>
        <v>0</v>
      </c>
      <c r="J248" s="20">
        <f t="shared" si="26"/>
        <v>0</v>
      </c>
      <c r="K248" s="18"/>
    </row>
    <row r="249" spans="1:11" x14ac:dyDescent="0.25">
      <c r="A249" s="25">
        <v>238</v>
      </c>
      <c r="B249" s="26">
        <v>51775</v>
      </c>
      <c r="C249" s="20">
        <f t="shared" si="27"/>
        <v>0</v>
      </c>
      <c r="D249" s="27">
        <f t="shared" si="21"/>
        <v>0</v>
      </c>
      <c r="E249" s="19">
        <f t="shared" si="22"/>
        <v>0</v>
      </c>
      <c r="F249" s="19">
        <f t="shared" si="23"/>
        <v>0</v>
      </c>
      <c r="G249" s="20">
        <f t="shared" si="24"/>
        <v>0</v>
      </c>
      <c r="H249" s="20">
        <v>0</v>
      </c>
      <c r="I249" s="20">
        <f t="shared" si="25"/>
        <v>0</v>
      </c>
      <c r="J249" s="20">
        <f t="shared" si="26"/>
        <v>0</v>
      </c>
      <c r="K249" s="18"/>
    </row>
    <row r="250" spans="1:11" x14ac:dyDescent="0.25">
      <c r="A250" s="25">
        <v>239</v>
      </c>
      <c r="B250" s="26">
        <v>51806</v>
      </c>
      <c r="C250" s="20">
        <f t="shared" si="27"/>
        <v>0</v>
      </c>
      <c r="D250" s="27">
        <f t="shared" si="21"/>
        <v>0</v>
      </c>
      <c r="E250" s="19">
        <f t="shared" si="22"/>
        <v>0</v>
      </c>
      <c r="F250" s="19">
        <f t="shared" si="23"/>
        <v>0</v>
      </c>
      <c r="G250" s="20">
        <f t="shared" si="24"/>
        <v>0</v>
      </c>
      <c r="H250" s="20">
        <v>0</v>
      </c>
      <c r="I250" s="20">
        <f t="shared" si="25"/>
        <v>0</v>
      </c>
      <c r="J250" s="20">
        <f t="shared" si="26"/>
        <v>0</v>
      </c>
      <c r="K250" s="18"/>
    </row>
    <row r="251" spans="1:11" x14ac:dyDescent="0.25">
      <c r="A251" s="25">
        <v>240</v>
      </c>
      <c r="B251" s="26">
        <v>51836</v>
      </c>
      <c r="C251" s="20">
        <f t="shared" si="27"/>
        <v>0</v>
      </c>
      <c r="D251" s="27">
        <f t="shared" si="21"/>
        <v>0</v>
      </c>
      <c r="E251" s="19">
        <f t="shared" si="22"/>
        <v>0</v>
      </c>
      <c r="F251" s="19">
        <f t="shared" si="23"/>
        <v>0</v>
      </c>
      <c r="G251" s="20">
        <f t="shared" si="24"/>
        <v>0</v>
      </c>
      <c r="H251" s="20">
        <v>0</v>
      </c>
      <c r="I251" s="20">
        <f t="shared" si="25"/>
        <v>0</v>
      </c>
      <c r="J251" s="20">
        <f t="shared" si="26"/>
        <v>0</v>
      </c>
      <c r="K251" s="18"/>
    </row>
    <row r="252" spans="1:11" x14ac:dyDescent="0.25">
      <c r="A252" s="25">
        <v>241</v>
      </c>
      <c r="B252" s="26">
        <v>51867</v>
      </c>
      <c r="C252" s="20">
        <f t="shared" si="27"/>
        <v>0</v>
      </c>
      <c r="D252" s="27">
        <f t="shared" si="21"/>
        <v>0</v>
      </c>
      <c r="E252" s="19">
        <f t="shared" si="22"/>
        <v>0</v>
      </c>
      <c r="F252" s="19">
        <f t="shared" si="23"/>
        <v>0</v>
      </c>
      <c r="G252" s="20">
        <f t="shared" si="24"/>
        <v>0</v>
      </c>
      <c r="H252" s="20">
        <v>0</v>
      </c>
      <c r="I252" s="20">
        <f t="shared" si="25"/>
        <v>0</v>
      </c>
      <c r="J252" s="20">
        <f t="shared" si="26"/>
        <v>0</v>
      </c>
      <c r="K252" s="18"/>
    </row>
    <row r="253" spans="1:11" x14ac:dyDescent="0.25">
      <c r="A253" s="25">
        <v>242</v>
      </c>
      <c r="B253" s="26">
        <v>51898</v>
      </c>
      <c r="C253" s="20">
        <f t="shared" si="27"/>
        <v>0</v>
      </c>
      <c r="D253" s="27">
        <f t="shared" si="21"/>
        <v>0</v>
      </c>
      <c r="E253" s="19">
        <f t="shared" si="22"/>
        <v>0</v>
      </c>
      <c r="F253" s="19">
        <f t="shared" si="23"/>
        <v>0</v>
      </c>
      <c r="G253" s="20">
        <f t="shared" si="24"/>
        <v>0</v>
      </c>
      <c r="H253" s="20">
        <v>0</v>
      </c>
      <c r="I253" s="20">
        <f t="shared" si="25"/>
        <v>0</v>
      </c>
      <c r="J253" s="20">
        <f t="shared" si="26"/>
        <v>0</v>
      </c>
      <c r="K253" s="18"/>
    </row>
    <row r="254" spans="1:11" x14ac:dyDescent="0.25">
      <c r="A254" s="25">
        <v>243</v>
      </c>
      <c r="B254" s="26">
        <v>51926</v>
      </c>
      <c r="C254" s="20">
        <f t="shared" si="27"/>
        <v>0</v>
      </c>
      <c r="D254" s="27">
        <f t="shared" si="21"/>
        <v>0</v>
      </c>
      <c r="E254" s="19">
        <f t="shared" si="22"/>
        <v>0</v>
      </c>
      <c r="F254" s="19">
        <f t="shared" si="23"/>
        <v>0</v>
      </c>
      <c r="G254" s="20">
        <f t="shared" si="24"/>
        <v>0</v>
      </c>
      <c r="H254" s="20">
        <v>0</v>
      </c>
      <c r="I254" s="20">
        <f t="shared" si="25"/>
        <v>0</v>
      </c>
      <c r="J254" s="20">
        <f t="shared" si="26"/>
        <v>0</v>
      </c>
      <c r="K254" s="18"/>
    </row>
    <row r="255" spans="1:11" x14ac:dyDescent="0.25">
      <c r="A255" s="25">
        <v>244</v>
      </c>
      <c r="B255" s="26">
        <v>51957</v>
      </c>
      <c r="C255" s="20">
        <f t="shared" si="27"/>
        <v>0</v>
      </c>
      <c r="D255" s="27">
        <f t="shared" si="21"/>
        <v>0</v>
      </c>
      <c r="E255" s="19">
        <f t="shared" si="22"/>
        <v>0</v>
      </c>
      <c r="F255" s="19">
        <f t="shared" si="23"/>
        <v>0</v>
      </c>
      <c r="G255" s="20">
        <f t="shared" si="24"/>
        <v>0</v>
      </c>
      <c r="H255" s="20">
        <v>0</v>
      </c>
      <c r="I255" s="20">
        <f t="shared" si="25"/>
        <v>0</v>
      </c>
      <c r="J255" s="20">
        <f t="shared" si="26"/>
        <v>0</v>
      </c>
      <c r="K255" s="18"/>
    </row>
    <row r="256" spans="1:11" x14ac:dyDescent="0.25">
      <c r="A256" s="25">
        <v>245</v>
      </c>
      <c r="B256" s="26">
        <v>51987</v>
      </c>
      <c r="C256" s="20">
        <f t="shared" si="27"/>
        <v>0</v>
      </c>
      <c r="D256" s="27">
        <f t="shared" si="21"/>
        <v>0</v>
      </c>
      <c r="E256" s="19">
        <f t="shared" si="22"/>
        <v>0</v>
      </c>
      <c r="F256" s="19">
        <f t="shared" si="23"/>
        <v>0</v>
      </c>
      <c r="G256" s="20">
        <f t="shared" si="24"/>
        <v>0</v>
      </c>
      <c r="H256" s="20">
        <v>0</v>
      </c>
      <c r="I256" s="20">
        <f t="shared" si="25"/>
        <v>0</v>
      </c>
      <c r="J256" s="20">
        <f t="shared" si="26"/>
        <v>0</v>
      </c>
      <c r="K256" s="18"/>
    </row>
    <row r="257" spans="1:11" x14ac:dyDescent="0.25">
      <c r="A257" s="25">
        <v>246</v>
      </c>
      <c r="B257" s="26">
        <v>52018</v>
      </c>
      <c r="C257" s="20">
        <f t="shared" si="27"/>
        <v>0</v>
      </c>
      <c r="D257" s="27">
        <f t="shared" si="21"/>
        <v>0</v>
      </c>
      <c r="E257" s="19">
        <f t="shared" si="22"/>
        <v>0</v>
      </c>
      <c r="F257" s="19">
        <f t="shared" si="23"/>
        <v>0</v>
      </c>
      <c r="G257" s="20">
        <f t="shared" si="24"/>
        <v>0</v>
      </c>
      <c r="H257" s="20">
        <v>0</v>
      </c>
      <c r="I257" s="20">
        <f t="shared" si="25"/>
        <v>0</v>
      </c>
      <c r="J257" s="20">
        <f t="shared" si="26"/>
        <v>0</v>
      </c>
      <c r="K257" s="18"/>
    </row>
    <row r="258" spans="1:11" x14ac:dyDescent="0.25">
      <c r="A258" s="25">
        <v>247</v>
      </c>
      <c r="B258" s="26">
        <v>52048</v>
      </c>
      <c r="C258" s="20">
        <f t="shared" si="27"/>
        <v>0</v>
      </c>
      <c r="D258" s="27">
        <f t="shared" si="21"/>
        <v>0</v>
      </c>
      <c r="E258" s="19">
        <f t="shared" si="22"/>
        <v>0</v>
      </c>
      <c r="F258" s="19">
        <f t="shared" si="23"/>
        <v>0</v>
      </c>
      <c r="G258" s="20">
        <f t="shared" si="24"/>
        <v>0</v>
      </c>
      <c r="H258" s="20">
        <v>0</v>
      </c>
      <c r="I258" s="20">
        <f t="shared" si="25"/>
        <v>0</v>
      </c>
      <c r="J258" s="20">
        <f t="shared" si="26"/>
        <v>0</v>
      </c>
      <c r="K258" s="18"/>
    </row>
    <row r="259" spans="1:11" x14ac:dyDescent="0.25">
      <c r="A259" s="25">
        <v>248</v>
      </c>
      <c r="B259" s="26">
        <v>52079</v>
      </c>
      <c r="C259" s="20">
        <f t="shared" si="27"/>
        <v>0</v>
      </c>
      <c r="D259" s="27">
        <f t="shared" si="21"/>
        <v>0</v>
      </c>
      <c r="E259" s="19">
        <f t="shared" si="22"/>
        <v>0</v>
      </c>
      <c r="F259" s="19">
        <f t="shared" si="23"/>
        <v>0</v>
      </c>
      <c r="G259" s="20">
        <f t="shared" si="24"/>
        <v>0</v>
      </c>
      <c r="H259" s="20">
        <v>0</v>
      </c>
      <c r="I259" s="20">
        <f t="shared" si="25"/>
        <v>0</v>
      </c>
      <c r="J259" s="20">
        <f t="shared" si="26"/>
        <v>0</v>
      </c>
      <c r="K259" s="18"/>
    </row>
    <row r="260" spans="1:11" x14ac:dyDescent="0.25">
      <c r="A260" s="25">
        <v>249</v>
      </c>
      <c r="B260" s="26">
        <v>52110</v>
      </c>
      <c r="C260" s="20">
        <f t="shared" si="27"/>
        <v>0</v>
      </c>
      <c r="D260" s="27">
        <f t="shared" si="21"/>
        <v>0</v>
      </c>
      <c r="E260" s="19">
        <f t="shared" si="22"/>
        <v>0</v>
      </c>
      <c r="F260" s="19">
        <f t="shared" si="23"/>
        <v>0</v>
      </c>
      <c r="G260" s="20">
        <f t="shared" si="24"/>
        <v>0</v>
      </c>
      <c r="H260" s="20">
        <v>0</v>
      </c>
      <c r="I260" s="20">
        <f t="shared" si="25"/>
        <v>0</v>
      </c>
      <c r="J260" s="20">
        <f t="shared" si="26"/>
        <v>0</v>
      </c>
      <c r="K260" s="18"/>
    </row>
    <row r="261" spans="1:11" x14ac:dyDescent="0.25">
      <c r="A261" s="25">
        <v>250</v>
      </c>
      <c r="B261" s="26">
        <v>52140</v>
      </c>
      <c r="C261" s="20">
        <f t="shared" si="27"/>
        <v>0</v>
      </c>
      <c r="D261" s="27">
        <f t="shared" si="21"/>
        <v>0</v>
      </c>
      <c r="E261" s="19">
        <f t="shared" si="22"/>
        <v>0</v>
      </c>
      <c r="F261" s="19">
        <f t="shared" si="23"/>
        <v>0</v>
      </c>
      <c r="G261" s="20">
        <f t="shared" si="24"/>
        <v>0</v>
      </c>
      <c r="H261" s="20">
        <v>0</v>
      </c>
      <c r="I261" s="20">
        <f t="shared" si="25"/>
        <v>0</v>
      </c>
      <c r="J261" s="20">
        <f t="shared" si="26"/>
        <v>0</v>
      </c>
      <c r="K261" s="18"/>
    </row>
    <row r="262" spans="1:11" x14ac:dyDescent="0.25">
      <c r="A262" s="25">
        <v>251</v>
      </c>
      <c r="B262" s="26">
        <v>52171</v>
      </c>
      <c r="C262" s="20">
        <f t="shared" si="27"/>
        <v>0</v>
      </c>
      <c r="D262" s="27">
        <f t="shared" si="21"/>
        <v>0</v>
      </c>
      <c r="E262" s="19">
        <f t="shared" si="22"/>
        <v>0</v>
      </c>
      <c r="F262" s="19">
        <f t="shared" si="23"/>
        <v>0</v>
      </c>
      <c r="G262" s="20">
        <f t="shared" si="24"/>
        <v>0</v>
      </c>
      <c r="H262" s="20">
        <v>0</v>
      </c>
      <c r="I262" s="20">
        <f t="shared" si="25"/>
        <v>0</v>
      </c>
      <c r="J262" s="20">
        <f t="shared" si="26"/>
        <v>0</v>
      </c>
      <c r="K262" s="18"/>
    </row>
    <row r="263" spans="1:11" x14ac:dyDescent="0.25">
      <c r="A263" s="25">
        <v>252</v>
      </c>
      <c r="B263" s="26">
        <v>52201</v>
      </c>
      <c r="C263" s="20">
        <f t="shared" si="27"/>
        <v>0</v>
      </c>
      <c r="D263" s="27">
        <f t="shared" si="21"/>
        <v>0</v>
      </c>
      <c r="E263" s="19">
        <f t="shared" si="22"/>
        <v>0</v>
      </c>
      <c r="F263" s="19">
        <f t="shared" si="23"/>
        <v>0</v>
      </c>
      <c r="G263" s="20">
        <f t="shared" si="24"/>
        <v>0</v>
      </c>
      <c r="H263" s="20">
        <v>0</v>
      </c>
      <c r="I263" s="20">
        <f t="shared" si="25"/>
        <v>0</v>
      </c>
      <c r="J263" s="20">
        <f t="shared" si="26"/>
        <v>0</v>
      </c>
      <c r="K263" s="18"/>
    </row>
    <row r="264" spans="1:11" x14ac:dyDescent="0.25">
      <c r="A264" s="25">
        <v>253</v>
      </c>
      <c r="B264" s="26">
        <v>52232</v>
      </c>
      <c r="C264" s="20">
        <f t="shared" si="27"/>
        <v>0</v>
      </c>
      <c r="D264" s="27">
        <f t="shared" si="21"/>
        <v>0</v>
      </c>
      <c r="E264" s="19">
        <f t="shared" si="22"/>
        <v>0</v>
      </c>
      <c r="F264" s="19">
        <f t="shared" si="23"/>
        <v>0</v>
      </c>
      <c r="G264" s="20">
        <f t="shared" si="24"/>
        <v>0</v>
      </c>
      <c r="H264" s="20">
        <v>0</v>
      </c>
      <c r="I264" s="20">
        <f t="shared" si="25"/>
        <v>0</v>
      </c>
      <c r="J264" s="20">
        <f t="shared" si="26"/>
        <v>0</v>
      </c>
      <c r="K264" s="18"/>
    </row>
    <row r="265" spans="1:11" x14ac:dyDescent="0.25">
      <c r="A265" s="25">
        <v>254</v>
      </c>
      <c r="B265" s="26">
        <v>52263</v>
      </c>
      <c r="C265" s="20">
        <f t="shared" si="27"/>
        <v>0</v>
      </c>
      <c r="D265" s="27">
        <f t="shared" si="21"/>
        <v>0</v>
      </c>
      <c r="E265" s="19">
        <f t="shared" si="22"/>
        <v>0</v>
      </c>
      <c r="F265" s="19">
        <f t="shared" si="23"/>
        <v>0</v>
      </c>
      <c r="G265" s="20">
        <f t="shared" si="24"/>
        <v>0</v>
      </c>
      <c r="H265" s="20">
        <v>0</v>
      </c>
      <c r="I265" s="20">
        <f t="shared" si="25"/>
        <v>0</v>
      </c>
      <c r="J265" s="20">
        <f t="shared" si="26"/>
        <v>0</v>
      </c>
      <c r="K265" s="18"/>
    </row>
    <row r="266" spans="1:11" x14ac:dyDescent="0.25">
      <c r="A266" s="25">
        <v>255</v>
      </c>
      <c r="B266" s="26">
        <v>52291</v>
      </c>
      <c r="C266" s="20">
        <f t="shared" si="27"/>
        <v>0</v>
      </c>
      <c r="D266" s="27">
        <f t="shared" si="21"/>
        <v>0</v>
      </c>
      <c r="E266" s="19">
        <f t="shared" si="22"/>
        <v>0</v>
      </c>
      <c r="F266" s="19">
        <f t="shared" si="23"/>
        <v>0</v>
      </c>
      <c r="G266" s="20">
        <f t="shared" si="24"/>
        <v>0</v>
      </c>
      <c r="H266" s="20">
        <v>0</v>
      </c>
      <c r="I266" s="20">
        <f t="shared" si="25"/>
        <v>0</v>
      </c>
      <c r="J266" s="20">
        <f t="shared" si="26"/>
        <v>0</v>
      </c>
      <c r="K266" s="18"/>
    </row>
    <row r="267" spans="1:11" x14ac:dyDescent="0.25">
      <c r="A267" s="25">
        <v>256</v>
      </c>
      <c r="B267" s="26">
        <v>52322</v>
      </c>
      <c r="C267" s="20">
        <f t="shared" si="27"/>
        <v>0</v>
      </c>
      <c r="D267" s="27">
        <f t="shared" si="21"/>
        <v>0</v>
      </c>
      <c r="E267" s="19">
        <f t="shared" si="22"/>
        <v>0</v>
      </c>
      <c r="F267" s="19">
        <f t="shared" si="23"/>
        <v>0</v>
      </c>
      <c r="G267" s="20">
        <f t="shared" si="24"/>
        <v>0</v>
      </c>
      <c r="H267" s="20">
        <v>0</v>
      </c>
      <c r="I267" s="20">
        <f t="shared" si="25"/>
        <v>0</v>
      </c>
      <c r="J267" s="20">
        <f t="shared" si="26"/>
        <v>0</v>
      </c>
      <c r="K267" s="18"/>
    </row>
    <row r="268" spans="1:11" x14ac:dyDescent="0.25">
      <c r="A268" s="25">
        <v>257</v>
      </c>
      <c r="B268" s="26">
        <v>52352</v>
      </c>
      <c r="C268" s="20">
        <f t="shared" si="27"/>
        <v>0</v>
      </c>
      <c r="D268" s="27">
        <f t="shared" si="21"/>
        <v>0</v>
      </c>
      <c r="E268" s="19">
        <f t="shared" si="22"/>
        <v>0</v>
      </c>
      <c r="F268" s="19">
        <f t="shared" si="23"/>
        <v>0</v>
      </c>
      <c r="G268" s="20">
        <f t="shared" si="24"/>
        <v>0</v>
      </c>
      <c r="H268" s="20">
        <v>0</v>
      </c>
      <c r="I268" s="20">
        <f t="shared" si="25"/>
        <v>0</v>
      </c>
      <c r="J268" s="20">
        <f t="shared" si="26"/>
        <v>0</v>
      </c>
      <c r="K268" s="18"/>
    </row>
    <row r="269" spans="1:11" x14ac:dyDescent="0.25">
      <c r="A269" s="25">
        <v>258</v>
      </c>
      <c r="B269" s="26">
        <v>52383</v>
      </c>
      <c r="C269" s="20">
        <f t="shared" si="27"/>
        <v>0</v>
      </c>
      <c r="D269" s="27">
        <f t="shared" ref="D269:D332" si="28">C269*$C$6</f>
        <v>0</v>
      </c>
      <c r="E269" s="19">
        <f t="shared" ref="E269:E332" si="29">C269+D269</f>
        <v>0</v>
      </c>
      <c r="F269" s="19">
        <f t="shared" ref="F269:F332" si="30">IF(C269&gt;0,$C$4/$C$8,0)</f>
        <v>0</v>
      </c>
      <c r="G269" s="20">
        <f t="shared" ref="G269:G332" si="31">IF(C269&gt;0,F269+D269,0)</f>
        <v>0</v>
      </c>
      <c r="H269" s="20">
        <v>0</v>
      </c>
      <c r="I269" s="20">
        <f t="shared" ref="I269:I332" si="32">IF(C269&gt;0,H269+G269,0)</f>
        <v>0</v>
      </c>
      <c r="J269" s="20">
        <f t="shared" ref="J269:J332" si="33">IF(E269-I269&gt;0,ROUND(E269-I269,2),0)</f>
        <v>0</v>
      </c>
      <c r="K269" s="18"/>
    </row>
    <row r="270" spans="1:11" x14ac:dyDescent="0.25">
      <c r="A270" s="25">
        <v>259</v>
      </c>
      <c r="B270" s="26">
        <v>52413</v>
      </c>
      <c r="C270" s="20">
        <f t="shared" ref="C270:C333" si="34">IF(J269&gt;0,J269,0)</f>
        <v>0</v>
      </c>
      <c r="D270" s="27">
        <f t="shared" si="28"/>
        <v>0</v>
      </c>
      <c r="E270" s="19">
        <f t="shared" si="29"/>
        <v>0</v>
      </c>
      <c r="F270" s="19">
        <f t="shared" si="30"/>
        <v>0</v>
      </c>
      <c r="G270" s="20">
        <f t="shared" si="31"/>
        <v>0</v>
      </c>
      <c r="H270" s="20">
        <v>0</v>
      </c>
      <c r="I270" s="20">
        <f t="shared" si="32"/>
        <v>0</v>
      </c>
      <c r="J270" s="20">
        <f t="shared" si="33"/>
        <v>0</v>
      </c>
      <c r="K270" s="18"/>
    </row>
    <row r="271" spans="1:11" x14ac:dyDescent="0.25">
      <c r="A271" s="25">
        <v>260</v>
      </c>
      <c r="B271" s="26">
        <v>52444</v>
      </c>
      <c r="C271" s="20">
        <f t="shared" si="34"/>
        <v>0</v>
      </c>
      <c r="D271" s="27">
        <f t="shared" si="28"/>
        <v>0</v>
      </c>
      <c r="E271" s="19">
        <f t="shared" si="29"/>
        <v>0</v>
      </c>
      <c r="F271" s="19">
        <f t="shared" si="30"/>
        <v>0</v>
      </c>
      <c r="G271" s="20">
        <f t="shared" si="31"/>
        <v>0</v>
      </c>
      <c r="H271" s="20">
        <v>0</v>
      </c>
      <c r="I271" s="20">
        <f t="shared" si="32"/>
        <v>0</v>
      </c>
      <c r="J271" s="20">
        <f t="shared" si="33"/>
        <v>0</v>
      </c>
      <c r="K271" s="18"/>
    </row>
    <row r="272" spans="1:11" x14ac:dyDescent="0.25">
      <c r="A272" s="25">
        <v>261</v>
      </c>
      <c r="B272" s="26">
        <v>52475</v>
      </c>
      <c r="C272" s="20">
        <f t="shared" si="34"/>
        <v>0</v>
      </c>
      <c r="D272" s="27">
        <f t="shared" si="28"/>
        <v>0</v>
      </c>
      <c r="E272" s="19">
        <f t="shared" si="29"/>
        <v>0</v>
      </c>
      <c r="F272" s="19">
        <f t="shared" si="30"/>
        <v>0</v>
      </c>
      <c r="G272" s="20">
        <f t="shared" si="31"/>
        <v>0</v>
      </c>
      <c r="H272" s="20">
        <v>0</v>
      </c>
      <c r="I272" s="20">
        <f t="shared" si="32"/>
        <v>0</v>
      </c>
      <c r="J272" s="20">
        <f t="shared" si="33"/>
        <v>0</v>
      </c>
      <c r="K272" s="18"/>
    </row>
    <row r="273" spans="1:11" x14ac:dyDescent="0.25">
      <c r="A273" s="25">
        <v>262</v>
      </c>
      <c r="B273" s="26">
        <v>52505</v>
      </c>
      <c r="C273" s="20">
        <f t="shared" si="34"/>
        <v>0</v>
      </c>
      <c r="D273" s="27">
        <f t="shared" si="28"/>
        <v>0</v>
      </c>
      <c r="E273" s="19">
        <f t="shared" si="29"/>
        <v>0</v>
      </c>
      <c r="F273" s="19">
        <f t="shared" si="30"/>
        <v>0</v>
      </c>
      <c r="G273" s="20">
        <f t="shared" si="31"/>
        <v>0</v>
      </c>
      <c r="H273" s="20">
        <v>0</v>
      </c>
      <c r="I273" s="20">
        <f t="shared" si="32"/>
        <v>0</v>
      </c>
      <c r="J273" s="20">
        <f t="shared" si="33"/>
        <v>0</v>
      </c>
      <c r="K273" s="18"/>
    </row>
    <row r="274" spans="1:11" x14ac:dyDescent="0.25">
      <c r="A274" s="25">
        <v>263</v>
      </c>
      <c r="B274" s="26">
        <v>52536</v>
      </c>
      <c r="C274" s="20">
        <f t="shared" si="34"/>
        <v>0</v>
      </c>
      <c r="D274" s="27">
        <f t="shared" si="28"/>
        <v>0</v>
      </c>
      <c r="E274" s="19">
        <f t="shared" si="29"/>
        <v>0</v>
      </c>
      <c r="F274" s="19">
        <f t="shared" si="30"/>
        <v>0</v>
      </c>
      <c r="G274" s="20">
        <f t="shared" si="31"/>
        <v>0</v>
      </c>
      <c r="H274" s="20">
        <v>0</v>
      </c>
      <c r="I274" s="20">
        <f t="shared" si="32"/>
        <v>0</v>
      </c>
      <c r="J274" s="20">
        <f t="shared" si="33"/>
        <v>0</v>
      </c>
      <c r="K274" s="18"/>
    </row>
    <row r="275" spans="1:11" x14ac:dyDescent="0.25">
      <c r="A275" s="25">
        <v>264</v>
      </c>
      <c r="B275" s="26">
        <v>52566</v>
      </c>
      <c r="C275" s="20">
        <f t="shared" si="34"/>
        <v>0</v>
      </c>
      <c r="D275" s="27">
        <f t="shared" si="28"/>
        <v>0</v>
      </c>
      <c r="E275" s="19">
        <f t="shared" si="29"/>
        <v>0</v>
      </c>
      <c r="F275" s="19">
        <f t="shared" si="30"/>
        <v>0</v>
      </c>
      <c r="G275" s="20">
        <f t="shared" si="31"/>
        <v>0</v>
      </c>
      <c r="H275" s="20">
        <v>0</v>
      </c>
      <c r="I275" s="20">
        <f t="shared" si="32"/>
        <v>0</v>
      </c>
      <c r="J275" s="20">
        <f t="shared" si="33"/>
        <v>0</v>
      </c>
      <c r="K275" s="18"/>
    </row>
    <row r="276" spans="1:11" x14ac:dyDescent="0.25">
      <c r="A276" s="25">
        <v>265</v>
      </c>
      <c r="B276" s="26">
        <v>52597</v>
      </c>
      <c r="C276" s="20">
        <f t="shared" si="34"/>
        <v>0</v>
      </c>
      <c r="D276" s="27">
        <f t="shared" si="28"/>
        <v>0</v>
      </c>
      <c r="E276" s="19">
        <f t="shared" si="29"/>
        <v>0</v>
      </c>
      <c r="F276" s="19">
        <f t="shared" si="30"/>
        <v>0</v>
      </c>
      <c r="G276" s="20">
        <f t="shared" si="31"/>
        <v>0</v>
      </c>
      <c r="H276" s="20">
        <v>0</v>
      </c>
      <c r="I276" s="20">
        <f t="shared" si="32"/>
        <v>0</v>
      </c>
      <c r="J276" s="20">
        <f t="shared" si="33"/>
        <v>0</v>
      </c>
      <c r="K276" s="18"/>
    </row>
    <row r="277" spans="1:11" x14ac:dyDescent="0.25">
      <c r="A277" s="25">
        <v>266</v>
      </c>
      <c r="B277" s="26">
        <v>52628</v>
      </c>
      <c r="C277" s="20">
        <f t="shared" si="34"/>
        <v>0</v>
      </c>
      <c r="D277" s="27">
        <f t="shared" si="28"/>
        <v>0</v>
      </c>
      <c r="E277" s="19">
        <f t="shared" si="29"/>
        <v>0</v>
      </c>
      <c r="F277" s="19">
        <f t="shared" si="30"/>
        <v>0</v>
      </c>
      <c r="G277" s="20">
        <f t="shared" si="31"/>
        <v>0</v>
      </c>
      <c r="H277" s="20">
        <v>0</v>
      </c>
      <c r="I277" s="20">
        <f t="shared" si="32"/>
        <v>0</v>
      </c>
      <c r="J277" s="20">
        <f t="shared" si="33"/>
        <v>0</v>
      </c>
      <c r="K277" s="18"/>
    </row>
    <row r="278" spans="1:11" x14ac:dyDescent="0.25">
      <c r="A278" s="25">
        <v>267</v>
      </c>
      <c r="B278" s="26">
        <v>52657</v>
      </c>
      <c r="C278" s="20">
        <f t="shared" si="34"/>
        <v>0</v>
      </c>
      <c r="D278" s="27">
        <f t="shared" si="28"/>
        <v>0</v>
      </c>
      <c r="E278" s="19">
        <f t="shared" si="29"/>
        <v>0</v>
      </c>
      <c r="F278" s="19">
        <f t="shared" si="30"/>
        <v>0</v>
      </c>
      <c r="G278" s="20">
        <f t="shared" si="31"/>
        <v>0</v>
      </c>
      <c r="H278" s="20">
        <v>0</v>
      </c>
      <c r="I278" s="20">
        <f t="shared" si="32"/>
        <v>0</v>
      </c>
      <c r="J278" s="20">
        <f t="shared" si="33"/>
        <v>0</v>
      </c>
      <c r="K278" s="18"/>
    </row>
    <row r="279" spans="1:11" x14ac:dyDescent="0.25">
      <c r="A279" s="25">
        <v>268</v>
      </c>
      <c r="B279" s="26">
        <v>52688</v>
      </c>
      <c r="C279" s="20">
        <f t="shared" si="34"/>
        <v>0</v>
      </c>
      <c r="D279" s="27">
        <f t="shared" si="28"/>
        <v>0</v>
      </c>
      <c r="E279" s="19">
        <f t="shared" si="29"/>
        <v>0</v>
      </c>
      <c r="F279" s="19">
        <f t="shared" si="30"/>
        <v>0</v>
      </c>
      <c r="G279" s="20">
        <f t="shared" si="31"/>
        <v>0</v>
      </c>
      <c r="H279" s="20">
        <v>0</v>
      </c>
      <c r="I279" s="20">
        <f t="shared" si="32"/>
        <v>0</v>
      </c>
      <c r="J279" s="20">
        <f t="shared" si="33"/>
        <v>0</v>
      </c>
      <c r="K279" s="18"/>
    </row>
    <row r="280" spans="1:11" x14ac:dyDescent="0.25">
      <c r="A280" s="25">
        <v>269</v>
      </c>
      <c r="B280" s="26">
        <v>52718</v>
      </c>
      <c r="C280" s="20">
        <f t="shared" si="34"/>
        <v>0</v>
      </c>
      <c r="D280" s="27">
        <f t="shared" si="28"/>
        <v>0</v>
      </c>
      <c r="E280" s="19">
        <f t="shared" si="29"/>
        <v>0</v>
      </c>
      <c r="F280" s="19">
        <f t="shared" si="30"/>
        <v>0</v>
      </c>
      <c r="G280" s="20">
        <f t="shared" si="31"/>
        <v>0</v>
      </c>
      <c r="H280" s="20">
        <v>0</v>
      </c>
      <c r="I280" s="20">
        <f t="shared" si="32"/>
        <v>0</v>
      </c>
      <c r="J280" s="20">
        <f t="shared" si="33"/>
        <v>0</v>
      </c>
      <c r="K280" s="18"/>
    </row>
    <row r="281" spans="1:11" x14ac:dyDescent="0.25">
      <c r="A281" s="25">
        <v>270</v>
      </c>
      <c r="B281" s="26">
        <v>52749</v>
      </c>
      <c r="C281" s="20">
        <f t="shared" si="34"/>
        <v>0</v>
      </c>
      <c r="D281" s="27">
        <f t="shared" si="28"/>
        <v>0</v>
      </c>
      <c r="E281" s="19">
        <f t="shared" si="29"/>
        <v>0</v>
      </c>
      <c r="F281" s="19">
        <f t="shared" si="30"/>
        <v>0</v>
      </c>
      <c r="G281" s="20">
        <f t="shared" si="31"/>
        <v>0</v>
      </c>
      <c r="H281" s="20">
        <v>0</v>
      </c>
      <c r="I281" s="20">
        <f t="shared" si="32"/>
        <v>0</v>
      </c>
      <c r="J281" s="20">
        <f t="shared" si="33"/>
        <v>0</v>
      </c>
      <c r="K281" s="18"/>
    </row>
    <row r="282" spans="1:11" x14ac:dyDescent="0.25">
      <c r="A282" s="25">
        <v>271</v>
      </c>
      <c r="B282" s="26">
        <v>52779</v>
      </c>
      <c r="C282" s="20">
        <f t="shared" si="34"/>
        <v>0</v>
      </c>
      <c r="D282" s="27">
        <f t="shared" si="28"/>
        <v>0</v>
      </c>
      <c r="E282" s="19">
        <f t="shared" si="29"/>
        <v>0</v>
      </c>
      <c r="F282" s="19">
        <f t="shared" si="30"/>
        <v>0</v>
      </c>
      <c r="G282" s="20">
        <f t="shared" si="31"/>
        <v>0</v>
      </c>
      <c r="H282" s="20">
        <v>0</v>
      </c>
      <c r="I282" s="20">
        <f t="shared" si="32"/>
        <v>0</v>
      </c>
      <c r="J282" s="20">
        <f t="shared" si="33"/>
        <v>0</v>
      </c>
      <c r="K282" s="18"/>
    </row>
    <row r="283" spans="1:11" x14ac:dyDescent="0.25">
      <c r="A283" s="25">
        <v>272</v>
      </c>
      <c r="B283" s="26">
        <v>52810</v>
      </c>
      <c r="C283" s="20">
        <f t="shared" si="34"/>
        <v>0</v>
      </c>
      <c r="D283" s="27">
        <f t="shared" si="28"/>
        <v>0</v>
      </c>
      <c r="E283" s="19">
        <f t="shared" si="29"/>
        <v>0</v>
      </c>
      <c r="F283" s="19">
        <f t="shared" si="30"/>
        <v>0</v>
      </c>
      <c r="G283" s="20">
        <f t="shared" si="31"/>
        <v>0</v>
      </c>
      <c r="H283" s="20">
        <v>0</v>
      </c>
      <c r="I283" s="20">
        <f t="shared" si="32"/>
        <v>0</v>
      </c>
      <c r="J283" s="20">
        <f t="shared" si="33"/>
        <v>0</v>
      </c>
      <c r="K283" s="18"/>
    </row>
    <row r="284" spans="1:11" x14ac:dyDescent="0.25">
      <c r="A284" s="25">
        <v>273</v>
      </c>
      <c r="B284" s="26">
        <v>52841</v>
      </c>
      <c r="C284" s="20">
        <f t="shared" si="34"/>
        <v>0</v>
      </c>
      <c r="D284" s="27">
        <f t="shared" si="28"/>
        <v>0</v>
      </c>
      <c r="E284" s="19">
        <f t="shared" si="29"/>
        <v>0</v>
      </c>
      <c r="F284" s="19">
        <f t="shared" si="30"/>
        <v>0</v>
      </c>
      <c r="G284" s="20">
        <f t="shared" si="31"/>
        <v>0</v>
      </c>
      <c r="H284" s="20">
        <v>0</v>
      </c>
      <c r="I284" s="20">
        <f t="shared" si="32"/>
        <v>0</v>
      </c>
      <c r="J284" s="20">
        <f t="shared" si="33"/>
        <v>0</v>
      </c>
      <c r="K284" s="18"/>
    </row>
    <row r="285" spans="1:11" x14ac:dyDescent="0.25">
      <c r="A285" s="25">
        <v>274</v>
      </c>
      <c r="B285" s="26">
        <v>52871</v>
      </c>
      <c r="C285" s="20">
        <f t="shared" si="34"/>
        <v>0</v>
      </c>
      <c r="D285" s="27">
        <f t="shared" si="28"/>
        <v>0</v>
      </c>
      <c r="E285" s="19">
        <f t="shared" si="29"/>
        <v>0</v>
      </c>
      <c r="F285" s="19">
        <f t="shared" si="30"/>
        <v>0</v>
      </c>
      <c r="G285" s="20">
        <f t="shared" si="31"/>
        <v>0</v>
      </c>
      <c r="H285" s="20">
        <v>0</v>
      </c>
      <c r="I285" s="20">
        <f t="shared" si="32"/>
        <v>0</v>
      </c>
      <c r="J285" s="20">
        <f t="shared" si="33"/>
        <v>0</v>
      </c>
      <c r="K285" s="18"/>
    </row>
    <row r="286" spans="1:11" x14ac:dyDescent="0.25">
      <c r="A286" s="25">
        <v>275</v>
      </c>
      <c r="B286" s="26">
        <v>52902</v>
      </c>
      <c r="C286" s="20">
        <f t="shared" si="34"/>
        <v>0</v>
      </c>
      <c r="D286" s="27">
        <f t="shared" si="28"/>
        <v>0</v>
      </c>
      <c r="E286" s="19">
        <f t="shared" si="29"/>
        <v>0</v>
      </c>
      <c r="F286" s="19">
        <f t="shared" si="30"/>
        <v>0</v>
      </c>
      <c r="G286" s="20">
        <f t="shared" si="31"/>
        <v>0</v>
      </c>
      <c r="H286" s="20">
        <v>0</v>
      </c>
      <c r="I286" s="20">
        <f t="shared" si="32"/>
        <v>0</v>
      </c>
      <c r="J286" s="20">
        <f t="shared" si="33"/>
        <v>0</v>
      </c>
      <c r="K286" s="18"/>
    </row>
    <row r="287" spans="1:11" x14ac:dyDescent="0.25">
      <c r="A287" s="25">
        <v>276</v>
      </c>
      <c r="B287" s="26">
        <v>52932</v>
      </c>
      <c r="C287" s="20">
        <f t="shared" si="34"/>
        <v>0</v>
      </c>
      <c r="D287" s="27">
        <f t="shared" si="28"/>
        <v>0</v>
      </c>
      <c r="E287" s="19">
        <f t="shared" si="29"/>
        <v>0</v>
      </c>
      <c r="F287" s="19">
        <f t="shared" si="30"/>
        <v>0</v>
      </c>
      <c r="G287" s="20">
        <f t="shared" si="31"/>
        <v>0</v>
      </c>
      <c r="H287" s="20">
        <v>0</v>
      </c>
      <c r="I287" s="20">
        <f t="shared" si="32"/>
        <v>0</v>
      </c>
      <c r="J287" s="20">
        <f t="shared" si="33"/>
        <v>0</v>
      </c>
      <c r="K287" s="18"/>
    </row>
    <row r="288" spans="1:11" x14ac:dyDescent="0.25">
      <c r="A288" s="25">
        <v>277</v>
      </c>
      <c r="B288" s="26">
        <v>52963</v>
      </c>
      <c r="C288" s="20">
        <f t="shared" si="34"/>
        <v>0</v>
      </c>
      <c r="D288" s="27">
        <f t="shared" si="28"/>
        <v>0</v>
      </c>
      <c r="E288" s="19">
        <f t="shared" si="29"/>
        <v>0</v>
      </c>
      <c r="F288" s="19">
        <f t="shared" si="30"/>
        <v>0</v>
      </c>
      <c r="G288" s="20">
        <f t="shared" si="31"/>
        <v>0</v>
      </c>
      <c r="H288" s="20">
        <v>0</v>
      </c>
      <c r="I288" s="20">
        <f t="shared" si="32"/>
        <v>0</v>
      </c>
      <c r="J288" s="20">
        <f t="shared" si="33"/>
        <v>0</v>
      </c>
      <c r="K288" s="18"/>
    </row>
    <row r="289" spans="1:11" x14ac:dyDescent="0.25">
      <c r="A289" s="25">
        <v>278</v>
      </c>
      <c r="B289" s="26">
        <v>52994</v>
      </c>
      <c r="C289" s="20">
        <f t="shared" si="34"/>
        <v>0</v>
      </c>
      <c r="D289" s="27">
        <f t="shared" si="28"/>
        <v>0</v>
      </c>
      <c r="E289" s="19">
        <f t="shared" si="29"/>
        <v>0</v>
      </c>
      <c r="F289" s="19">
        <f t="shared" si="30"/>
        <v>0</v>
      </c>
      <c r="G289" s="20">
        <f t="shared" si="31"/>
        <v>0</v>
      </c>
      <c r="H289" s="20">
        <v>0</v>
      </c>
      <c r="I289" s="20">
        <f t="shared" si="32"/>
        <v>0</v>
      </c>
      <c r="J289" s="20">
        <f t="shared" si="33"/>
        <v>0</v>
      </c>
      <c r="K289" s="18"/>
    </row>
    <row r="290" spans="1:11" x14ac:dyDescent="0.25">
      <c r="A290" s="25">
        <v>279</v>
      </c>
      <c r="B290" s="26">
        <v>53022</v>
      </c>
      <c r="C290" s="20">
        <f t="shared" si="34"/>
        <v>0</v>
      </c>
      <c r="D290" s="27">
        <f t="shared" si="28"/>
        <v>0</v>
      </c>
      <c r="E290" s="19">
        <f t="shared" si="29"/>
        <v>0</v>
      </c>
      <c r="F290" s="19">
        <f t="shared" si="30"/>
        <v>0</v>
      </c>
      <c r="G290" s="20">
        <f t="shared" si="31"/>
        <v>0</v>
      </c>
      <c r="H290" s="20">
        <v>0</v>
      </c>
      <c r="I290" s="20">
        <f t="shared" si="32"/>
        <v>0</v>
      </c>
      <c r="J290" s="20">
        <f t="shared" si="33"/>
        <v>0</v>
      </c>
      <c r="K290" s="18"/>
    </row>
    <row r="291" spans="1:11" x14ac:dyDescent="0.25">
      <c r="A291" s="25">
        <v>280</v>
      </c>
      <c r="B291" s="26">
        <v>53053</v>
      </c>
      <c r="C291" s="20">
        <f t="shared" si="34"/>
        <v>0</v>
      </c>
      <c r="D291" s="27">
        <f t="shared" si="28"/>
        <v>0</v>
      </c>
      <c r="E291" s="19">
        <f t="shared" si="29"/>
        <v>0</v>
      </c>
      <c r="F291" s="19">
        <f t="shared" si="30"/>
        <v>0</v>
      </c>
      <c r="G291" s="20">
        <f t="shared" si="31"/>
        <v>0</v>
      </c>
      <c r="H291" s="20">
        <v>0</v>
      </c>
      <c r="I291" s="20">
        <f t="shared" si="32"/>
        <v>0</v>
      </c>
      <c r="J291" s="20">
        <f t="shared" si="33"/>
        <v>0</v>
      </c>
      <c r="K291" s="18"/>
    </row>
    <row r="292" spans="1:11" x14ac:dyDescent="0.25">
      <c r="A292" s="25">
        <v>281</v>
      </c>
      <c r="B292" s="26">
        <v>53083</v>
      </c>
      <c r="C292" s="20">
        <f t="shared" si="34"/>
        <v>0</v>
      </c>
      <c r="D292" s="27">
        <f t="shared" si="28"/>
        <v>0</v>
      </c>
      <c r="E292" s="19">
        <f t="shared" si="29"/>
        <v>0</v>
      </c>
      <c r="F292" s="19">
        <f t="shared" si="30"/>
        <v>0</v>
      </c>
      <c r="G292" s="20">
        <f t="shared" si="31"/>
        <v>0</v>
      </c>
      <c r="H292" s="20">
        <v>0</v>
      </c>
      <c r="I292" s="20">
        <f t="shared" si="32"/>
        <v>0</v>
      </c>
      <c r="J292" s="20">
        <f t="shared" si="33"/>
        <v>0</v>
      </c>
      <c r="K292" s="18"/>
    </row>
    <row r="293" spans="1:11" x14ac:dyDescent="0.25">
      <c r="A293" s="25">
        <v>282</v>
      </c>
      <c r="B293" s="26">
        <v>53114</v>
      </c>
      <c r="C293" s="20">
        <f t="shared" si="34"/>
        <v>0</v>
      </c>
      <c r="D293" s="27">
        <f t="shared" si="28"/>
        <v>0</v>
      </c>
      <c r="E293" s="19">
        <f t="shared" si="29"/>
        <v>0</v>
      </c>
      <c r="F293" s="19">
        <f t="shared" si="30"/>
        <v>0</v>
      </c>
      <c r="G293" s="20">
        <f t="shared" si="31"/>
        <v>0</v>
      </c>
      <c r="H293" s="20">
        <v>0</v>
      </c>
      <c r="I293" s="20">
        <f t="shared" si="32"/>
        <v>0</v>
      </c>
      <c r="J293" s="20">
        <f t="shared" si="33"/>
        <v>0</v>
      </c>
      <c r="K293" s="18"/>
    </row>
    <row r="294" spans="1:11" x14ac:dyDescent="0.25">
      <c r="A294" s="25">
        <v>283</v>
      </c>
      <c r="B294" s="26">
        <v>53144</v>
      </c>
      <c r="C294" s="20">
        <f t="shared" si="34"/>
        <v>0</v>
      </c>
      <c r="D294" s="27">
        <f t="shared" si="28"/>
        <v>0</v>
      </c>
      <c r="E294" s="19">
        <f t="shared" si="29"/>
        <v>0</v>
      </c>
      <c r="F294" s="19">
        <f t="shared" si="30"/>
        <v>0</v>
      </c>
      <c r="G294" s="20">
        <f t="shared" si="31"/>
        <v>0</v>
      </c>
      <c r="H294" s="20">
        <v>0</v>
      </c>
      <c r="I294" s="20">
        <f t="shared" si="32"/>
        <v>0</v>
      </c>
      <c r="J294" s="20">
        <f t="shared" si="33"/>
        <v>0</v>
      </c>
      <c r="K294" s="18"/>
    </row>
    <row r="295" spans="1:11" x14ac:dyDescent="0.25">
      <c r="A295" s="25">
        <v>284</v>
      </c>
      <c r="B295" s="26">
        <v>53175</v>
      </c>
      <c r="C295" s="20">
        <f t="shared" si="34"/>
        <v>0</v>
      </c>
      <c r="D295" s="27">
        <f t="shared" si="28"/>
        <v>0</v>
      </c>
      <c r="E295" s="19">
        <f t="shared" si="29"/>
        <v>0</v>
      </c>
      <c r="F295" s="19">
        <f t="shared" si="30"/>
        <v>0</v>
      </c>
      <c r="G295" s="20">
        <f t="shared" si="31"/>
        <v>0</v>
      </c>
      <c r="H295" s="20">
        <v>0</v>
      </c>
      <c r="I295" s="20">
        <f t="shared" si="32"/>
        <v>0</v>
      </c>
      <c r="J295" s="20">
        <f t="shared" si="33"/>
        <v>0</v>
      </c>
      <c r="K295" s="18"/>
    </row>
    <row r="296" spans="1:11" x14ac:dyDescent="0.25">
      <c r="A296" s="25">
        <v>285</v>
      </c>
      <c r="B296" s="26">
        <v>53206</v>
      </c>
      <c r="C296" s="20">
        <f t="shared" si="34"/>
        <v>0</v>
      </c>
      <c r="D296" s="27">
        <f t="shared" si="28"/>
        <v>0</v>
      </c>
      <c r="E296" s="19">
        <f t="shared" si="29"/>
        <v>0</v>
      </c>
      <c r="F296" s="19">
        <f t="shared" si="30"/>
        <v>0</v>
      </c>
      <c r="G296" s="20">
        <f t="shared" si="31"/>
        <v>0</v>
      </c>
      <c r="H296" s="20">
        <v>0</v>
      </c>
      <c r="I296" s="20">
        <f t="shared" si="32"/>
        <v>0</v>
      </c>
      <c r="J296" s="20">
        <f t="shared" si="33"/>
        <v>0</v>
      </c>
      <c r="K296" s="18"/>
    </row>
    <row r="297" spans="1:11" x14ac:dyDescent="0.25">
      <c r="A297" s="25">
        <v>286</v>
      </c>
      <c r="B297" s="26">
        <v>53236</v>
      </c>
      <c r="C297" s="20">
        <f t="shared" si="34"/>
        <v>0</v>
      </c>
      <c r="D297" s="27">
        <f t="shared" si="28"/>
        <v>0</v>
      </c>
      <c r="E297" s="19">
        <f t="shared" si="29"/>
        <v>0</v>
      </c>
      <c r="F297" s="19">
        <f t="shared" si="30"/>
        <v>0</v>
      </c>
      <c r="G297" s="20">
        <f t="shared" si="31"/>
        <v>0</v>
      </c>
      <c r="H297" s="20">
        <v>0</v>
      </c>
      <c r="I297" s="20">
        <f t="shared" si="32"/>
        <v>0</v>
      </c>
      <c r="J297" s="20">
        <f t="shared" si="33"/>
        <v>0</v>
      </c>
      <c r="K297" s="18"/>
    </row>
    <row r="298" spans="1:11" x14ac:dyDescent="0.25">
      <c r="A298" s="25">
        <v>287</v>
      </c>
      <c r="B298" s="26">
        <v>53267</v>
      </c>
      <c r="C298" s="20">
        <f t="shared" si="34"/>
        <v>0</v>
      </c>
      <c r="D298" s="27">
        <f t="shared" si="28"/>
        <v>0</v>
      </c>
      <c r="E298" s="19">
        <f t="shared" si="29"/>
        <v>0</v>
      </c>
      <c r="F298" s="19">
        <f t="shared" si="30"/>
        <v>0</v>
      </c>
      <c r="G298" s="20">
        <f t="shared" si="31"/>
        <v>0</v>
      </c>
      <c r="H298" s="20">
        <v>0</v>
      </c>
      <c r="I298" s="20">
        <f t="shared" si="32"/>
        <v>0</v>
      </c>
      <c r="J298" s="20">
        <f t="shared" si="33"/>
        <v>0</v>
      </c>
      <c r="K298" s="18"/>
    </row>
    <row r="299" spans="1:11" x14ac:dyDescent="0.25">
      <c r="A299" s="25">
        <v>288</v>
      </c>
      <c r="B299" s="26">
        <v>53297</v>
      </c>
      <c r="C299" s="20">
        <f t="shared" si="34"/>
        <v>0</v>
      </c>
      <c r="D299" s="27">
        <f t="shared" si="28"/>
        <v>0</v>
      </c>
      <c r="E299" s="19">
        <f t="shared" si="29"/>
        <v>0</v>
      </c>
      <c r="F299" s="19">
        <f t="shared" si="30"/>
        <v>0</v>
      </c>
      <c r="G299" s="20">
        <f t="shared" si="31"/>
        <v>0</v>
      </c>
      <c r="H299" s="20">
        <v>0</v>
      </c>
      <c r="I299" s="20">
        <f t="shared" si="32"/>
        <v>0</v>
      </c>
      <c r="J299" s="20">
        <f t="shared" si="33"/>
        <v>0</v>
      </c>
      <c r="K299" s="18"/>
    </row>
    <row r="300" spans="1:11" x14ac:dyDescent="0.25">
      <c r="A300" s="25">
        <v>289</v>
      </c>
      <c r="B300" s="26">
        <v>53328</v>
      </c>
      <c r="C300" s="20">
        <f t="shared" si="34"/>
        <v>0</v>
      </c>
      <c r="D300" s="27">
        <f t="shared" si="28"/>
        <v>0</v>
      </c>
      <c r="E300" s="19">
        <f t="shared" si="29"/>
        <v>0</v>
      </c>
      <c r="F300" s="19">
        <f t="shared" si="30"/>
        <v>0</v>
      </c>
      <c r="G300" s="20">
        <f t="shared" si="31"/>
        <v>0</v>
      </c>
      <c r="H300" s="20">
        <v>0</v>
      </c>
      <c r="I300" s="20">
        <f t="shared" si="32"/>
        <v>0</v>
      </c>
      <c r="J300" s="20">
        <f t="shared" si="33"/>
        <v>0</v>
      </c>
      <c r="K300" s="18"/>
    </row>
    <row r="301" spans="1:11" x14ac:dyDescent="0.25">
      <c r="A301" s="25">
        <v>290</v>
      </c>
      <c r="B301" s="26">
        <v>53359</v>
      </c>
      <c r="C301" s="20">
        <f t="shared" si="34"/>
        <v>0</v>
      </c>
      <c r="D301" s="27">
        <f t="shared" si="28"/>
        <v>0</v>
      </c>
      <c r="E301" s="19">
        <f t="shared" si="29"/>
        <v>0</v>
      </c>
      <c r="F301" s="19">
        <f t="shared" si="30"/>
        <v>0</v>
      </c>
      <c r="G301" s="20">
        <f t="shared" si="31"/>
        <v>0</v>
      </c>
      <c r="H301" s="20">
        <v>0</v>
      </c>
      <c r="I301" s="20">
        <f t="shared" si="32"/>
        <v>0</v>
      </c>
      <c r="J301" s="20">
        <f t="shared" si="33"/>
        <v>0</v>
      </c>
      <c r="K301" s="18"/>
    </row>
    <row r="302" spans="1:11" x14ac:dyDescent="0.25">
      <c r="A302" s="25">
        <v>291</v>
      </c>
      <c r="B302" s="26">
        <v>53387</v>
      </c>
      <c r="C302" s="20">
        <f t="shared" si="34"/>
        <v>0</v>
      </c>
      <c r="D302" s="27">
        <f t="shared" si="28"/>
        <v>0</v>
      </c>
      <c r="E302" s="19">
        <f t="shared" si="29"/>
        <v>0</v>
      </c>
      <c r="F302" s="19">
        <f t="shared" si="30"/>
        <v>0</v>
      </c>
      <c r="G302" s="20">
        <f t="shared" si="31"/>
        <v>0</v>
      </c>
      <c r="H302" s="20">
        <v>0</v>
      </c>
      <c r="I302" s="20">
        <f t="shared" si="32"/>
        <v>0</v>
      </c>
      <c r="J302" s="20">
        <f t="shared" si="33"/>
        <v>0</v>
      </c>
      <c r="K302" s="18"/>
    </row>
    <row r="303" spans="1:11" x14ac:dyDescent="0.25">
      <c r="A303" s="25">
        <v>292</v>
      </c>
      <c r="B303" s="26">
        <v>53418</v>
      </c>
      <c r="C303" s="20">
        <f t="shared" si="34"/>
        <v>0</v>
      </c>
      <c r="D303" s="27">
        <f t="shared" si="28"/>
        <v>0</v>
      </c>
      <c r="E303" s="19">
        <f t="shared" si="29"/>
        <v>0</v>
      </c>
      <c r="F303" s="19">
        <f t="shared" si="30"/>
        <v>0</v>
      </c>
      <c r="G303" s="20">
        <f t="shared" si="31"/>
        <v>0</v>
      </c>
      <c r="H303" s="20">
        <v>0</v>
      </c>
      <c r="I303" s="20">
        <f t="shared" si="32"/>
        <v>0</v>
      </c>
      <c r="J303" s="20">
        <f t="shared" si="33"/>
        <v>0</v>
      </c>
      <c r="K303" s="18"/>
    </row>
    <row r="304" spans="1:11" x14ac:dyDescent="0.25">
      <c r="A304" s="25">
        <v>293</v>
      </c>
      <c r="B304" s="26">
        <v>53448</v>
      </c>
      <c r="C304" s="20">
        <f t="shared" si="34"/>
        <v>0</v>
      </c>
      <c r="D304" s="27">
        <f t="shared" si="28"/>
        <v>0</v>
      </c>
      <c r="E304" s="19">
        <f t="shared" si="29"/>
        <v>0</v>
      </c>
      <c r="F304" s="19">
        <f t="shared" si="30"/>
        <v>0</v>
      </c>
      <c r="G304" s="20">
        <f t="shared" si="31"/>
        <v>0</v>
      </c>
      <c r="H304" s="20">
        <v>0</v>
      </c>
      <c r="I304" s="20">
        <f t="shared" si="32"/>
        <v>0</v>
      </c>
      <c r="J304" s="20">
        <f t="shared" si="33"/>
        <v>0</v>
      </c>
      <c r="K304" s="18"/>
    </row>
    <row r="305" spans="1:11" x14ac:dyDescent="0.25">
      <c r="A305" s="25">
        <v>294</v>
      </c>
      <c r="B305" s="26">
        <v>53479</v>
      </c>
      <c r="C305" s="20">
        <f t="shared" si="34"/>
        <v>0</v>
      </c>
      <c r="D305" s="27">
        <f t="shared" si="28"/>
        <v>0</v>
      </c>
      <c r="E305" s="19">
        <f t="shared" si="29"/>
        <v>0</v>
      </c>
      <c r="F305" s="19">
        <f t="shared" si="30"/>
        <v>0</v>
      </c>
      <c r="G305" s="20">
        <f t="shared" si="31"/>
        <v>0</v>
      </c>
      <c r="H305" s="20">
        <v>0</v>
      </c>
      <c r="I305" s="20">
        <f t="shared" si="32"/>
        <v>0</v>
      </c>
      <c r="J305" s="20">
        <f t="shared" si="33"/>
        <v>0</v>
      </c>
      <c r="K305" s="18"/>
    </row>
    <row r="306" spans="1:11" x14ac:dyDescent="0.25">
      <c r="A306" s="25">
        <v>295</v>
      </c>
      <c r="B306" s="26">
        <v>53509</v>
      </c>
      <c r="C306" s="20">
        <f t="shared" si="34"/>
        <v>0</v>
      </c>
      <c r="D306" s="27">
        <f t="shared" si="28"/>
        <v>0</v>
      </c>
      <c r="E306" s="19">
        <f t="shared" si="29"/>
        <v>0</v>
      </c>
      <c r="F306" s="19">
        <f t="shared" si="30"/>
        <v>0</v>
      </c>
      <c r="G306" s="20">
        <f t="shared" si="31"/>
        <v>0</v>
      </c>
      <c r="H306" s="20">
        <v>0</v>
      </c>
      <c r="I306" s="20">
        <f t="shared" si="32"/>
        <v>0</v>
      </c>
      <c r="J306" s="20">
        <f t="shared" si="33"/>
        <v>0</v>
      </c>
      <c r="K306" s="18"/>
    </row>
    <row r="307" spans="1:11" x14ac:dyDescent="0.25">
      <c r="A307" s="25">
        <v>296</v>
      </c>
      <c r="B307" s="26">
        <v>53540</v>
      </c>
      <c r="C307" s="20">
        <f t="shared" si="34"/>
        <v>0</v>
      </c>
      <c r="D307" s="27">
        <f t="shared" si="28"/>
        <v>0</v>
      </c>
      <c r="E307" s="19">
        <f t="shared" si="29"/>
        <v>0</v>
      </c>
      <c r="F307" s="19">
        <f t="shared" si="30"/>
        <v>0</v>
      </c>
      <c r="G307" s="20">
        <f t="shared" si="31"/>
        <v>0</v>
      </c>
      <c r="H307" s="20">
        <v>0</v>
      </c>
      <c r="I307" s="20">
        <f t="shared" si="32"/>
        <v>0</v>
      </c>
      <c r="J307" s="20">
        <f t="shared" si="33"/>
        <v>0</v>
      </c>
      <c r="K307" s="18"/>
    </row>
    <row r="308" spans="1:11" x14ac:dyDescent="0.25">
      <c r="A308" s="25">
        <v>297</v>
      </c>
      <c r="B308" s="26">
        <v>53571</v>
      </c>
      <c r="C308" s="20">
        <f t="shared" si="34"/>
        <v>0</v>
      </c>
      <c r="D308" s="27">
        <f t="shared" si="28"/>
        <v>0</v>
      </c>
      <c r="E308" s="19">
        <f t="shared" si="29"/>
        <v>0</v>
      </c>
      <c r="F308" s="19">
        <f t="shared" si="30"/>
        <v>0</v>
      </c>
      <c r="G308" s="20">
        <f t="shared" si="31"/>
        <v>0</v>
      </c>
      <c r="H308" s="20">
        <v>0</v>
      </c>
      <c r="I308" s="20">
        <f t="shared" si="32"/>
        <v>0</v>
      </c>
      <c r="J308" s="20">
        <f t="shared" si="33"/>
        <v>0</v>
      </c>
      <c r="K308" s="18"/>
    </row>
    <row r="309" spans="1:11" x14ac:dyDescent="0.25">
      <c r="A309" s="25">
        <v>298</v>
      </c>
      <c r="B309" s="26">
        <v>53601</v>
      </c>
      <c r="C309" s="20">
        <f t="shared" si="34"/>
        <v>0</v>
      </c>
      <c r="D309" s="27">
        <f t="shared" si="28"/>
        <v>0</v>
      </c>
      <c r="E309" s="19">
        <f t="shared" si="29"/>
        <v>0</v>
      </c>
      <c r="F309" s="19">
        <f t="shared" si="30"/>
        <v>0</v>
      </c>
      <c r="G309" s="20">
        <f t="shared" si="31"/>
        <v>0</v>
      </c>
      <c r="H309" s="20">
        <v>0</v>
      </c>
      <c r="I309" s="20">
        <f t="shared" si="32"/>
        <v>0</v>
      </c>
      <c r="J309" s="20">
        <f t="shared" si="33"/>
        <v>0</v>
      </c>
      <c r="K309" s="18"/>
    </row>
    <row r="310" spans="1:11" x14ac:dyDescent="0.25">
      <c r="A310" s="25">
        <v>299</v>
      </c>
      <c r="B310" s="26">
        <v>53632</v>
      </c>
      <c r="C310" s="20">
        <f t="shared" si="34"/>
        <v>0</v>
      </c>
      <c r="D310" s="27">
        <f t="shared" si="28"/>
        <v>0</v>
      </c>
      <c r="E310" s="19">
        <f t="shared" si="29"/>
        <v>0</v>
      </c>
      <c r="F310" s="19">
        <f t="shared" si="30"/>
        <v>0</v>
      </c>
      <c r="G310" s="20">
        <f t="shared" si="31"/>
        <v>0</v>
      </c>
      <c r="H310" s="20">
        <v>0</v>
      </c>
      <c r="I310" s="20">
        <f t="shared" si="32"/>
        <v>0</v>
      </c>
      <c r="J310" s="20">
        <f t="shared" si="33"/>
        <v>0</v>
      </c>
      <c r="K310" s="18"/>
    </row>
    <row r="311" spans="1:11" x14ac:dyDescent="0.25">
      <c r="A311" s="25">
        <v>300</v>
      </c>
      <c r="B311" s="26">
        <v>53662</v>
      </c>
      <c r="C311" s="20">
        <f t="shared" si="34"/>
        <v>0</v>
      </c>
      <c r="D311" s="27">
        <f t="shared" si="28"/>
        <v>0</v>
      </c>
      <c r="E311" s="19">
        <f t="shared" si="29"/>
        <v>0</v>
      </c>
      <c r="F311" s="19">
        <f t="shared" si="30"/>
        <v>0</v>
      </c>
      <c r="G311" s="20">
        <f t="shared" si="31"/>
        <v>0</v>
      </c>
      <c r="H311" s="20">
        <v>0</v>
      </c>
      <c r="I311" s="20">
        <f t="shared" si="32"/>
        <v>0</v>
      </c>
      <c r="J311" s="20">
        <f t="shared" si="33"/>
        <v>0</v>
      </c>
      <c r="K311" s="18"/>
    </row>
    <row r="312" spans="1:11" x14ac:dyDescent="0.25">
      <c r="A312" s="25">
        <v>301</v>
      </c>
      <c r="B312" s="26">
        <v>53693</v>
      </c>
      <c r="C312" s="20">
        <f t="shared" si="34"/>
        <v>0</v>
      </c>
      <c r="D312" s="27">
        <f t="shared" si="28"/>
        <v>0</v>
      </c>
      <c r="E312" s="19">
        <f t="shared" si="29"/>
        <v>0</v>
      </c>
      <c r="F312" s="19">
        <f t="shared" si="30"/>
        <v>0</v>
      </c>
      <c r="G312" s="20">
        <f t="shared" si="31"/>
        <v>0</v>
      </c>
      <c r="H312" s="20">
        <v>0</v>
      </c>
      <c r="I312" s="20">
        <f t="shared" si="32"/>
        <v>0</v>
      </c>
      <c r="J312" s="20">
        <f t="shared" si="33"/>
        <v>0</v>
      </c>
      <c r="K312" s="18"/>
    </row>
    <row r="313" spans="1:11" x14ac:dyDescent="0.25">
      <c r="A313" s="25">
        <v>302</v>
      </c>
      <c r="B313" s="26">
        <v>53724</v>
      </c>
      <c r="C313" s="20">
        <f t="shared" si="34"/>
        <v>0</v>
      </c>
      <c r="D313" s="27">
        <f t="shared" si="28"/>
        <v>0</v>
      </c>
      <c r="E313" s="19">
        <f t="shared" si="29"/>
        <v>0</v>
      </c>
      <c r="F313" s="19">
        <f t="shared" si="30"/>
        <v>0</v>
      </c>
      <c r="G313" s="20">
        <f t="shared" si="31"/>
        <v>0</v>
      </c>
      <c r="H313" s="20">
        <v>0</v>
      </c>
      <c r="I313" s="20">
        <f t="shared" si="32"/>
        <v>0</v>
      </c>
      <c r="J313" s="20">
        <f t="shared" si="33"/>
        <v>0</v>
      </c>
      <c r="K313" s="18"/>
    </row>
    <row r="314" spans="1:11" x14ac:dyDescent="0.25">
      <c r="A314" s="25">
        <v>303</v>
      </c>
      <c r="B314" s="26">
        <v>53752</v>
      </c>
      <c r="C314" s="20">
        <f t="shared" si="34"/>
        <v>0</v>
      </c>
      <c r="D314" s="27">
        <f t="shared" si="28"/>
        <v>0</v>
      </c>
      <c r="E314" s="19">
        <f t="shared" si="29"/>
        <v>0</v>
      </c>
      <c r="F314" s="19">
        <f t="shared" si="30"/>
        <v>0</v>
      </c>
      <c r="G314" s="20">
        <f t="shared" si="31"/>
        <v>0</v>
      </c>
      <c r="H314" s="20">
        <v>0</v>
      </c>
      <c r="I314" s="20">
        <f t="shared" si="32"/>
        <v>0</v>
      </c>
      <c r="J314" s="20">
        <f t="shared" si="33"/>
        <v>0</v>
      </c>
      <c r="K314" s="18"/>
    </row>
    <row r="315" spans="1:11" x14ac:dyDescent="0.25">
      <c r="A315" s="25">
        <v>304</v>
      </c>
      <c r="B315" s="26">
        <v>53783</v>
      </c>
      <c r="C315" s="20">
        <f t="shared" si="34"/>
        <v>0</v>
      </c>
      <c r="D315" s="27">
        <f t="shared" si="28"/>
        <v>0</v>
      </c>
      <c r="E315" s="19">
        <f t="shared" si="29"/>
        <v>0</v>
      </c>
      <c r="F315" s="19">
        <f t="shared" si="30"/>
        <v>0</v>
      </c>
      <c r="G315" s="20">
        <f t="shared" si="31"/>
        <v>0</v>
      </c>
      <c r="H315" s="20">
        <v>0</v>
      </c>
      <c r="I315" s="20">
        <f t="shared" si="32"/>
        <v>0</v>
      </c>
      <c r="J315" s="20">
        <f t="shared" si="33"/>
        <v>0</v>
      </c>
      <c r="K315" s="18"/>
    </row>
    <row r="316" spans="1:11" x14ac:dyDescent="0.25">
      <c r="A316" s="25">
        <v>305</v>
      </c>
      <c r="B316" s="26">
        <v>53813</v>
      </c>
      <c r="C316" s="20">
        <f t="shared" si="34"/>
        <v>0</v>
      </c>
      <c r="D316" s="27">
        <f t="shared" si="28"/>
        <v>0</v>
      </c>
      <c r="E316" s="19">
        <f t="shared" si="29"/>
        <v>0</v>
      </c>
      <c r="F316" s="19">
        <f t="shared" si="30"/>
        <v>0</v>
      </c>
      <c r="G316" s="20">
        <f t="shared" si="31"/>
        <v>0</v>
      </c>
      <c r="H316" s="20">
        <v>0</v>
      </c>
      <c r="I316" s="20">
        <f t="shared" si="32"/>
        <v>0</v>
      </c>
      <c r="J316" s="20">
        <f t="shared" si="33"/>
        <v>0</v>
      </c>
      <c r="K316" s="18"/>
    </row>
    <row r="317" spans="1:11" x14ac:dyDescent="0.25">
      <c r="A317" s="25">
        <v>306</v>
      </c>
      <c r="B317" s="26">
        <v>53844</v>
      </c>
      <c r="C317" s="20">
        <f t="shared" si="34"/>
        <v>0</v>
      </c>
      <c r="D317" s="27">
        <f t="shared" si="28"/>
        <v>0</v>
      </c>
      <c r="E317" s="19">
        <f t="shared" si="29"/>
        <v>0</v>
      </c>
      <c r="F317" s="19">
        <f t="shared" si="30"/>
        <v>0</v>
      </c>
      <c r="G317" s="20">
        <f t="shared" si="31"/>
        <v>0</v>
      </c>
      <c r="H317" s="20">
        <v>0</v>
      </c>
      <c r="I317" s="20">
        <f t="shared" si="32"/>
        <v>0</v>
      </c>
      <c r="J317" s="20">
        <f t="shared" si="33"/>
        <v>0</v>
      </c>
      <c r="K317" s="18"/>
    </row>
    <row r="318" spans="1:11" x14ac:dyDescent="0.25">
      <c r="A318" s="25">
        <v>307</v>
      </c>
      <c r="B318" s="26">
        <v>53874</v>
      </c>
      <c r="C318" s="20">
        <f t="shared" si="34"/>
        <v>0</v>
      </c>
      <c r="D318" s="27">
        <f t="shared" si="28"/>
        <v>0</v>
      </c>
      <c r="E318" s="19">
        <f t="shared" si="29"/>
        <v>0</v>
      </c>
      <c r="F318" s="19">
        <f t="shared" si="30"/>
        <v>0</v>
      </c>
      <c r="G318" s="20">
        <f t="shared" si="31"/>
        <v>0</v>
      </c>
      <c r="H318" s="20">
        <v>0</v>
      </c>
      <c r="I318" s="20">
        <f t="shared" si="32"/>
        <v>0</v>
      </c>
      <c r="J318" s="20">
        <f t="shared" si="33"/>
        <v>0</v>
      </c>
      <c r="K318" s="18"/>
    </row>
    <row r="319" spans="1:11" x14ac:dyDescent="0.25">
      <c r="A319" s="25">
        <v>308</v>
      </c>
      <c r="B319" s="26">
        <v>53905</v>
      </c>
      <c r="C319" s="20">
        <f t="shared" si="34"/>
        <v>0</v>
      </c>
      <c r="D319" s="27">
        <f t="shared" si="28"/>
        <v>0</v>
      </c>
      <c r="E319" s="19">
        <f t="shared" si="29"/>
        <v>0</v>
      </c>
      <c r="F319" s="19">
        <f t="shared" si="30"/>
        <v>0</v>
      </c>
      <c r="G319" s="20">
        <f t="shared" si="31"/>
        <v>0</v>
      </c>
      <c r="H319" s="20">
        <v>0</v>
      </c>
      <c r="I319" s="20">
        <f t="shared" si="32"/>
        <v>0</v>
      </c>
      <c r="J319" s="20">
        <f t="shared" si="33"/>
        <v>0</v>
      </c>
      <c r="K319" s="18"/>
    </row>
    <row r="320" spans="1:11" x14ac:dyDescent="0.25">
      <c r="A320" s="25">
        <v>309</v>
      </c>
      <c r="B320" s="26">
        <v>53936</v>
      </c>
      <c r="C320" s="20">
        <f t="shared" si="34"/>
        <v>0</v>
      </c>
      <c r="D320" s="27">
        <f t="shared" si="28"/>
        <v>0</v>
      </c>
      <c r="E320" s="19">
        <f t="shared" si="29"/>
        <v>0</v>
      </c>
      <c r="F320" s="19">
        <f t="shared" si="30"/>
        <v>0</v>
      </c>
      <c r="G320" s="20">
        <f t="shared" si="31"/>
        <v>0</v>
      </c>
      <c r="H320" s="20">
        <v>0</v>
      </c>
      <c r="I320" s="20">
        <f t="shared" si="32"/>
        <v>0</v>
      </c>
      <c r="J320" s="20">
        <f t="shared" si="33"/>
        <v>0</v>
      </c>
      <c r="K320" s="18"/>
    </row>
    <row r="321" spans="1:11" x14ac:dyDescent="0.25">
      <c r="A321" s="25">
        <v>310</v>
      </c>
      <c r="B321" s="26">
        <v>53966</v>
      </c>
      <c r="C321" s="20">
        <f t="shared" si="34"/>
        <v>0</v>
      </c>
      <c r="D321" s="27">
        <f t="shared" si="28"/>
        <v>0</v>
      </c>
      <c r="E321" s="19">
        <f t="shared" si="29"/>
        <v>0</v>
      </c>
      <c r="F321" s="19">
        <f t="shared" si="30"/>
        <v>0</v>
      </c>
      <c r="G321" s="20">
        <f t="shared" si="31"/>
        <v>0</v>
      </c>
      <c r="H321" s="20">
        <v>0</v>
      </c>
      <c r="I321" s="20">
        <f t="shared" si="32"/>
        <v>0</v>
      </c>
      <c r="J321" s="20">
        <f t="shared" si="33"/>
        <v>0</v>
      </c>
      <c r="K321" s="18"/>
    </row>
    <row r="322" spans="1:11" x14ac:dyDescent="0.25">
      <c r="A322" s="25">
        <v>311</v>
      </c>
      <c r="B322" s="26">
        <v>53997</v>
      </c>
      <c r="C322" s="20">
        <f t="shared" si="34"/>
        <v>0</v>
      </c>
      <c r="D322" s="27">
        <f t="shared" si="28"/>
        <v>0</v>
      </c>
      <c r="E322" s="19">
        <f t="shared" si="29"/>
        <v>0</v>
      </c>
      <c r="F322" s="19">
        <f t="shared" si="30"/>
        <v>0</v>
      </c>
      <c r="G322" s="20">
        <f t="shared" si="31"/>
        <v>0</v>
      </c>
      <c r="H322" s="20">
        <v>0</v>
      </c>
      <c r="I322" s="20">
        <f t="shared" si="32"/>
        <v>0</v>
      </c>
      <c r="J322" s="20">
        <f t="shared" si="33"/>
        <v>0</v>
      </c>
      <c r="K322" s="18"/>
    </row>
    <row r="323" spans="1:11" x14ac:dyDescent="0.25">
      <c r="A323" s="25">
        <v>312</v>
      </c>
      <c r="B323" s="26">
        <v>54027</v>
      </c>
      <c r="C323" s="20">
        <f t="shared" si="34"/>
        <v>0</v>
      </c>
      <c r="D323" s="27">
        <f t="shared" si="28"/>
        <v>0</v>
      </c>
      <c r="E323" s="19">
        <f t="shared" si="29"/>
        <v>0</v>
      </c>
      <c r="F323" s="19">
        <f t="shared" si="30"/>
        <v>0</v>
      </c>
      <c r="G323" s="20">
        <f t="shared" si="31"/>
        <v>0</v>
      </c>
      <c r="H323" s="20">
        <v>0</v>
      </c>
      <c r="I323" s="20">
        <f t="shared" si="32"/>
        <v>0</v>
      </c>
      <c r="J323" s="20">
        <f t="shared" si="33"/>
        <v>0</v>
      </c>
      <c r="K323" s="18"/>
    </row>
    <row r="324" spans="1:11" x14ac:dyDescent="0.25">
      <c r="A324" s="25">
        <v>313</v>
      </c>
      <c r="B324" s="26">
        <v>54058</v>
      </c>
      <c r="C324" s="20">
        <f t="shared" si="34"/>
        <v>0</v>
      </c>
      <c r="D324" s="27">
        <f t="shared" si="28"/>
        <v>0</v>
      </c>
      <c r="E324" s="19">
        <f t="shared" si="29"/>
        <v>0</v>
      </c>
      <c r="F324" s="19">
        <f t="shared" si="30"/>
        <v>0</v>
      </c>
      <c r="G324" s="20">
        <f t="shared" si="31"/>
        <v>0</v>
      </c>
      <c r="H324" s="20">
        <v>0</v>
      </c>
      <c r="I324" s="20">
        <f t="shared" si="32"/>
        <v>0</v>
      </c>
      <c r="J324" s="20">
        <f t="shared" si="33"/>
        <v>0</v>
      </c>
      <c r="K324" s="18"/>
    </row>
    <row r="325" spans="1:11" x14ac:dyDescent="0.25">
      <c r="A325" s="25">
        <v>314</v>
      </c>
      <c r="B325" s="26">
        <v>54089</v>
      </c>
      <c r="C325" s="20">
        <f t="shared" si="34"/>
        <v>0</v>
      </c>
      <c r="D325" s="27">
        <f t="shared" si="28"/>
        <v>0</v>
      </c>
      <c r="E325" s="19">
        <f t="shared" si="29"/>
        <v>0</v>
      </c>
      <c r="F325" s="19">
        <f t="shared" si="30"/>
        <v>0</v>
      </c>
      <c r="G325" s="20">
        <f t="shared" si="31"/>
        <v>0</v>
      </c>
      <c r="H325" s="20">
        <v>0</v>
      </c>
      <c r="I325" s="20">
        <f t="shared" si="32"/>
        <v>0</v>
      </c>
      <c r="J325" s="20">
        <f t="shared" si="33"/>
        <v>0</v>
      </c>
      <c r="K325" s="18"/>
    </row>
    <row r="326" spans="1:11" x14ac:dyDescent="0.25">
      <c r="A326" s="25">
        <v>315</v>
      </c>
      <c r="B326" s="26">
        <v>54118</v>
      </c>
      <c r="C326" s="20">
        <f t="shared" si="34"/>
        <v>0</v>
      </c>
      <c r="D326" s="27">
        <f t="shared" si="28"/>
        <v>0</v>
      </c>
      <c r="E326" s="19">
        <f t="shared" si="29"/>
        <v>0</v>
      </c>
      <c r="F326" s="19">
        <f t="shared" si="30"/>
        <v>0</v>
      </c>
      <c r="G326" s="20">
        <f t="shared" si="31"/>
        <v>0</v>
      </c>
      <c r="H326" s="20">
        <v>0</v>
      </c>
      <c r="I326" s="20">
        <f t="shared" si="32"/>
        <v>0</v>
      </c>
      <c r="J326" s="20">
        <f t="shared" si="33"/>
        <v>0</v>
      </c>
      <c r="K326" s="18"/>
    </row>
    <row r="327" spans="1:11" x14ac:dyDescent="0.25">
      <c r="A327" s="25">
        <v>316</v>
      </c>
      <c r="B327" s="26">
        <v>54149</v>
      </c>
      <c r="C327" s="20">
        <f t="shared" si="34"/>
        <v>0</v>
      </c>
      <c r="D327" s="27">
        <f t="shared" si="28"/>
        <v>0</v>
      </c>
      <c r="E327" s="19">
        <f t="shared" si="29"/>
        <v>0</v>
      </c>
      <c r="F327" s="19">
        <f t="shared" si="30"/>
        <v>0</v>
      </c>
      <c r="G327" s="20">
        <f t="shared" si="31"/>
        <v>0</v>
      </c>
      <c r="H327" s="20">
        <v>0</v>
      </c>
      <c r="I327" s="20">
        <f t="shared" si="32"/>
        <v>0</v>
      </c>
      <c r="J327" s="20">
        <f t="shared" si="33"/>
        <v>0</v>
      </c>
      <c r="K327" s="18"/>
    </row>
    <row r="328" spans="1:11" x14ac:dyDescent="0.25">
      <c r="A328" s="25">
        <v>317</v>
      </c>
      <c r="B328" s="26">
        <v>54179</v>
      </c>
      <c r="C328" s="20">
        <f t="shared" si="34"/>
        <v>0</v>
      </c>
      <c r="D328" s="27">
        <f t="shared" si="28"/>
        <v>0</v>
      </c>
      <c r="E328" s="19">
        <f t="shared" si="29"/>
        <v>0</v>
      </c>
      <c r="F328" s="19">
        <f t="shared" si="30"/>
        <v>0</v>
      </c>
      <c r="G328" s="20">
        <f t="shared" si="31"/>
        <v>0</v>
      </c>
      <c r="H328" s="20">
        <v>0</v>
      </c>
      <c r="I328" s="20">
        <f t="shared" si="32"/>
        <v>0</v>
      </c>
      <c r="J328" s="20">
        <f t="shared" si="33"/>
        <v>0</v>
      </c>
      <c r="K328" s="18"/>
    </row>
    <row r="329" spans="1:11" x14ac:dyDescent="0.25">
      <c r="A329" s="25">
        <v>318</v>
      </c>
      <c r="B329" s="26">
        <v>54210</v>
      </c>
      <c r="C329" s="20">
        <f t="shared" si="34"/>
        <v>0</v>
      </c>
      <c r="D329" s="27">
        <f t="shared" si="28"/>
        <v>0</v>
      </c>
      <c r="E329" s="19">
        <f t="shared" si="29"/>
        <v>0</v>
      </c>
      <c r="F329" s="19">
        <f t="shared" si="30"/>
        <v>0</v>
      </c>
      <c r="G329" s="20">
        <f t="shared" si="31"/>
        <v>0</v>
      </c>
      <c r="H329" s="20">
        <v>0</v>
      </c>
      <c r="I329" s="20">
        <f t="shared" si="32"/>
        <v>0</v>
      </c>
      <c r="J329" s="20">
        <f t="shared" si="33"/>
        <v>0</v>
      </c>
      <c r="K329" s="18"/>
    </row>
    <row r="330" spans="1:11" x14ac:dyDescent="0.25">
      <c r="A330" s="25">
        <v>319</v>
      </c>
      <c r="B330" s="26">
        <v>54240</v>
      </c>
      <c r="C330" s="20">
        <f t="shared" si="34"/>
        <v>0</v>
      </c>
      <c r="D330" s="27">
        <f t="shared" si="28"/>
        <v>0</v>
      </c>
      <c r="E330" s="19">
        <f t="shared" si="29"/>
        <v>0</v>
      </c>
      <c r="F330" s="19">
        <f t="shared" si="30"/>
        <v>0</v>
      </c>
      <c r="G330" s="20">
        <f t="shared" si="31"/>
        <v>0</v>
      </c>
      <c r="H330" s="20">
        <v>0</v>
      </c>
      <c r="I330" s="20">
        <f t="shared" si="32"/>
        <v>0</v>
      </c>
      <c r="J330" s="20">
        <f t="shared" si="33"/>
        <v>0</v>
      </c>
      <c r="K330" s="18"/>
    </row>
    <row r="331" spans="1:11" x14ac:dyDescent="0.25">
      <c r="A331" s="25">
        <v>320</v>
      </c>
      <c r="B331" s="26">
        <v>54271</v>
      </c>
      <c r="C331" s="20">
        <f t="shared" si="34"/>
        <v>0</v>
      </c>
      <c r="D331" s="27">
        <f t="shared" si="28"/>
        <v>0</v>
      </c>
      <c r="E331" s="19">
        <f t="shared" si="29"/>
        <v>0</v>
      </c>
      <c r="F331" s="19">
        <f t="shared" si="30"/>
        <v>0</v>
      </c>
      <c r="G331" s="20">
        <f t="shared" si="31"/>
        <v>0</v>
      </c>
      <c r="H331" s="20">
        <v>0</v>
      </c>
      <c r="I331" s="20">
        <f t="shared" si="32"/>
        <v>0</v>
      </c>
      <c r="J331" s="20">
        <f t="shared" si="33"/>
        <v>0</v>
      </c>
      <c r="K331" s="18"/>
    </row>
    <row r="332" spans="1:11" x14ac:dyDescent="0.25">
      <c r="A332" s="25">
        <v>321</v>
      </c>
      <c r="B332" s="26">
        <v>54302</v>
      </c>
      <c r="C332" s="20">
        <f t="shared" si="34"/>
        <v>0</v>
      </c>
      <c r="D332" s="27">
        <f t="shared" si="28"/>
        <v>0</v>
      </c>
      <c r="E332" s="19">
        <f t="shared" si="29"/>
        <v>0</v>
      </c>
      <c r="F332" s="19">
        <f t="shared" si="30"/>
        <v>0</v>
      </c>
      <c r="G332" s="20">
        <f t="shared" si="31"/>
        <v>0</v>
      </c>
      <c r="H332" s="20">
        <v>0</v>
      </c>
      <c r="I332" s="20">
        <f t="shared" si="32"/>
        <v>0</v>
      </c>
      <c r="J332" s="20">
        <f t="shared" si="33"/>
        <v>0</v>
      </c>
      <c r="K332" s="18"/>
    </row>
    <row r="333" spans="1:11" x14ac:dyDescent="0.25">
      <c r="A333" s="25">
        <v>322</v>
      </c>
      <c r="B333" s="26">
        <v>54332</v>
      </c>
      <c r="C333" s="20">
        <f t="shared" si="34"/>
        <v>0</v>
      </c>
      <c r="D333" s="27">
        <f t="shared" ref="D333:D371" si="35">C333*$C$6</f>
        <v>0</v>
      </c>
      <c r="E333" s="19">
        <f t="shared" ref="E333:E371" si="36">C333+D333</f>
        <v>0</v>
      </c>
      <c r="F333" s="19">
        <f t="shared" ref="F333:F371" si="37">IF(C333&gt;0,$C$4/$C$8,0)</f>
        <v>0</v>
      </c>
      <c r="G333" s="20">
        <f t="shared" ref="G333:G371" si="38">IF(C333&gt;0,F333+D333,0)</f>
        <v>0</v>
      </c>
      <c r="H333" s="20">
        <v>0</v>
      </c>
      <c r="I333" s="20">
        <f t="shared" ref="I333:I371" si="39">IF(C333&gt;0,H333+G333,0)</f>
        <v>0</v>
      </c>
      <c r="J333" s="20">
        <f t="shared" ref="J333:J396" si="40">IF(E333-I333&gt;0,ROUND(E333-I333,2),0)</f>
        <v>0</v>
      </c>
      <c r="K333" s="18"/>
    </row>
    <row r="334" spans="1:11" x14ac:dyDescent="0.25">
      <c r="A334" s="25">
        <v>323</v>
      </c>
      <c r="B334" s="26">
        <v>54363</v>
      </c>
      <c r="C334" s="20">
        <f t="shared" ref="C334:C371" si="41">IF(J333&gt;0,J333,0)</f>
        <v>0</v>
      </c>
      <c r="D334" s="27">
        <f t="shared" si="35"/>
        <v>0</v>
      </c>
      <c r="E334" s="19">
        <f t="shared" si="36"/>
        <v>0</v>
      </c>
      <c r="F334" s="19">
        <f t="shared" si="37"/>
        <v>0</v>
      </c>
      <c r="G334" s="20">
        <f t="shared" si="38"/>
        <v>0</v>
      </c>
      <c r="H334" s="20">
        <v>0</v>
      </c>
      <c r="I334" s="20">
        <f t="shared" si="39"/>
        <v>0</v>
      </c>
      <c r="J334" s="20">
        <f t="shared" si="40"/>
        <v>0</v>
      </c>
      <c r="K334" s="18"/>
    </row>
    <row r="335" spans="1:11" x14ac:dyDescent="0.25">
      <c r="A335" s="25">
        <v>324</v>
      </c>
      <c r="B335" s="26">
        <v>54393</v>
      </c>
      <c r="C335" s="20">
        <f t="shared" si="41"/>
        <v>0</v>
      </c>
      <c r="D335" s="27">
        <f t="shared" si="35"/>
        <v>0</v>
      </c>
      <c r="E335" s="19">
        <f t="shared" si="36"/>
        <v>0</v>
      </c>
      <c r="F335" s="19">
        <f t="shared" si="37"/>
        <v>0</v>
      </c>
      <c r="G335" s="20">
        <f t="shared" si="38"/>
        <v>0</v>
      </c>
      <c r="H335" s="20">
        <v>0</v>
      </c>
      <c r="I335" s="20">
        <f t="shared" si="39"/>
        <v>0</v>
      </c>
      <c r="J335" s="20">
        <f t="shared" si="40"/>
        <v>0</v>
      </c>
      <c r="K335" s="18"/>
    </row>
    <row r="336" spans="1:11" x14ac:dyDescent="0.25">
      <c r="A336" s="25">
        <v>325</v>
      </c>
      <c r="B336" s="26">
        <v>54424</v>
      </c>
      <c r="C336" s="20">
        <f t="shared" si="41"/>
        <v>0</v>
      </c>
      <c r="D336" s="27">
        <f t="shared" si="35"/>
        <v>0</v>
      </c>
      <c r="E336" s="19">
        <f t="shared" si="36"/>
        <v>0</v>
      </c>
      <c r="F336" s="19">
        <f t="shared" si="37"/>
        <v>0</v>
      </c>
      <c r="G336" s="20">
        <f t="shared" si="38"/>
        <v>0</v>
      </c>
      <c r="H336" s="20">
        <v>0</v>
      </c>
      <c r="I336" s="20">
        <f t="shared" si="39"/>
        <v>0</v>
      </c>
      <c r="J336" s="20">
        <f t="shared" si="40"/>
        <v>0</v>
      </c>
      <c r="K336" s="18"/>
    </row>
    <row r="337" spans="1:11" x14ac:dyDescent="0.25">
      <c r="A337" s="25">
        <v>326</v>
      </c>
      <c r="B337" s="26">
        <v>54455</v>
      </c>
      <c r="C337" s="20">
        <f t="shared" si="41"/>
        <v>0</v>
      </c>
      <c r="D337" s="27">
        <f t="shared" si="35"/>
        <v>0</v>
      </c>
      <c r="E337" s="19">
        <f t="shared" si="36"/>
        <v>0</v>
      </c>
      <c r="F337" s="19">
        <f t="shared" si="37"/>
        <v>0</v>
      </c>
      <c r="G337" s="20">
        <f t="shared" si="38"/>
        <v>0</v>
      </c>
      <c r="H337" s="20">
        <v>0</v>
      </c>
      <c r="I337" s="20">
        <f t="shared" si="39"/>
        <v>0</v>
      </c>
      <c r="J337" s="20">
        <f t="shared" si="40"/>
        <v>0</v>
      </c>
      <c r="K337" s="18"/>
    </row>
    <row r="338" spans="1:11" x14ac:dyDescent="0.25">
      <c r="A338" s="25">
        <v>327</v>
      </c>
      <c r="B338" s="26">
        <v>54483</v>
      </c>
      <c r="C338" s="20">
        <f t="shared" si="41"/>
        <v>0</v>
      </c>
      <c r="D338" s="27">
        <f t="shared" si="35"/>
        <v>0</v>
      </c>
      <c r="E338" s="19">
        <f t="shared" si="36"/>
        <v>0</v>
      </c>
      <c r="F338" s="19">
        <f t="shared" si="37"/>
        <v>0</v>
      </c>
      <c r="G338" s="20">
        <f t="shared" si="38"/>
        <v>0</v>
      </c>
      <c r="H338" s="20">
        <v>0</v>
      </c>
      <c r="I338" s="20">
        <f t="shared" si="39"/>
        <v>0</v>
      </c>
      <c r="J338" s="20">
        <f t="shared" si="40"/>
        <v>0</v>
      </c>
      <c r="K338" s="18"/>
    </row>
    <row r="339" spans="1:11" x14ac:dyDescent="0.25">
      <c r="A339" s="25">
        <v>328</v>
      </c>
      <c r="B339" s="26">
        <v>54514</v>
      </c>
      <c r="C339" s="20">
        <f t="shared" si="41"/>
        <v>0</v>
      </c>
      <c r="D339" s="27">
        <f t="shared" si="35"/>
        <v>0</v>
      </c>
      <c r="E339" s="19">
        <f t="shared" si="36"/>
        <v>0</v>
      </c>
      <c r="F339" s="19">
        <f t="shared" si="37"/>
        <v>0</v>
      </c>
      <c r="G339" s="20">
        <f t="shared" si="38"/>
        <v>0</v>
      </c>
      <c r="H339" s="20">
        <v>0</v>
      </c>
      <c r="I339" s="20">
        <f t="shared" si="39"/>
        <v>0</v>
      </c>
      <c r="J339" s="20">
        <f t="shared" si="40"/>
        <v>0</v>
      </c>
      <c r="K339" s="18"/>
    </row>
    <row r="340" spans="1:11" x14ac:dyDescent="0.25">
      <c r="A340" s="25">
        <v>329</v>
      </c>
      <c r="B340" s="26">
        <v>54544</v>
      </c>
      <c r="C340" s="20">
        <f t="shared" si="41"/>
        <v>0</v>
      </c>
      <c r="D340" s="27">
        <f t="shared" si="35"/>
        <v>0</v>
      </c>
      <c r="E340" s="19">
        <f t="shared" si="36"/>
        <v>0</v>
      </c>
      <c r="F340" s="19">
        <f t="shared" si="37"/>
        <v>0</v>
      </c>
      <c r="G340" s="20">
        <f t="shared" si="38"/>
        <v>0</v>
      </c>
      <c r="H340" s="20">
        <v>0</v>
      </c>
      <c r="I340" s="20">
        <f t="shared" si="39"/>
        <v>0</v>
      </c>
      <c r="J340" s="20">
        <f t="shared" si="40"/>
        <v>0</v>
      </c>
      <c r="K340" s="18"/>
    </row>
    <row r="341" spans="1:11" x14ac:dyDescent="0.25">
      <c r="A341" s="25">
        <v>330</v>
      </c>
      <c r="B341" s="26">
        <v>54575</v>
      </c>
      <c r="C341" s="20">
        <f t="shared" si="41"/>
        <v>0</v>
      </c>
      <c r="D341" s="27">
        <f t="shared" si="35"/>
        <v>0</v>
      </c>
      <c r="E341" s="19">
        <f t="shared" si="36"/>
        <v>0</v>
      </c>
      <c r="F341" s="19">
        <f t="shared" si="37"/>
        <v>0</v>
      </c>
      <c r="G341" s="20">
        <f t="shared" si="38"/>
        <v>0</v>
      </c>
      <c r="H341" s="20">
        <v>0</v>
      </c>
      <c r="I341" s="20">
        <f t="shared" si="39"/>
        <v>0</v>
      </c>
      <c r="J341" s="20">
        <f t="shared" si="40"/>
        <v>0</v>
      </c>
      <c r="K341" s="18"/>
    </row>
    <row r="342" spans="1:11" x14ac:dyDescent="0.25">
      <c r="A342" s="25">
        <v>331</v>
      </c>
      <c r="B342" s="26">
        <v>54605</v>
      </c>
      <c r="C342" s="20">
        <f t="shared" si="41"/>
        <v>0</v>
      </c>
      <c r="D342" s="27">
        <f t="shared" si="35"/>
        <v>0</v>
      </c>
      <c r="E342" s="19">
        <f t="shared" si="36"/>
        <v>0</v>
      </c>
      <c r="F342" s="19">
        <f t="shared" si="37"/>
        <v>0</v>
      </c>
      <c r="G342" s="20">
        <f t="shared" si="38"/>
        <v>0</v>
      </c>
      <c r="H342" s="20">
        <v>0</v>
      </c>
      <c r="I342" s="20">
        <f t="shared" si="39"/>
        <v>0</v>
      </c>
      <c r="J342" s="20">
        <f t="shared" si="40"/>
        <v>0</v>
      </c>
      <c r="K342" s="18"/>
    </row>
    <row r="343" spans="1:11" x14ac:dyDescent="0.25">
      <c r="A343" s="25">
        <v>332</v>
      </c>
      <c r="B343" s="26">
        <v>54636</v>
      </c>
      <c r="C343" s="20">
        <f t="shared" si="41"/>
        <v>0</v>
      </c>
      <c r="D343" s="27">
        <f t="shared" si="35"/>
        <v>0</v>
      </c>
      <c r="E343" s="19">
        <f t="shared" si="36"/>
        <v>0</v>
      </c>
      <c r="F343" s="19">
        <f t="shared" si="37"/>
        <v>0</v>
      </c>
      <c r="G343" s="20">
        <f t="shared" si="38"/>
        <v>0</v>
      </c>
      <c r="H343" s="20">
        <v>0</v>
      </c>
      <c r="I343" s="20">
        <f t="shared" si="39"/>
        <v>0</v>
      </c>
      <c r="J343" s="20">
        <f t="shared" si="40"/>
        <v>0</v>
      </c>
      <c r="K343" s="18"/>
    </row>
    <row r="344" spans="1:11" x14ac:dyDescent="0.25">
      <c r="A344" s="25">
        <v>333</v>
      </c>
      <c r="B344" s="26">
        <v>54667</v>
      </c>
      <c r="C344" s="20">
        <f t="shared" si="41"/>
        <v>0</v>
      </c>
      <c r="D344" s="27">
        <f t="shared" si="35"/>
        <v>0</v>
      </c>
      <c r="E344" s="19">
        <f t="shared" si="36"/>
        <v>0</v>
      </c>
      <c r="F344" s="19">
        <f t="shared" si="37"/>
        <v>0</v>
      </c>
      <c r="G344" s="20">
        <f t="shared" si="38"/>
        <v>0</v>
      </c>
      <c r="H344" s="20">
        <v>0</v>
      </c>
      <c r="I344" s="20">
        <f t="shared" si="39"/>
        <v>0</v>
      </c>
      <c r="J344" s="20">
        <f t="shared" si="40"/>
        <v>0</v>
      </c>
      <c r="K344" s="18"/>
    </row>
    <row r="345" spans="1:11" x14ac:dyDescent="0.25">
      <c r="A345" s="25">
        <v>334</v>
      </c>
      <c r="B345" s="26">
        <v>54697</v>
      </c>
      <c r="C345" s="20">
        <f t="shared" si="41"/>
        <v>0</v>
      </c>
      <c r="D345" s="27">
        <f t="shared" si="35"/>
        <v>0</v>
      </c>
      <c r="E345" s="19">
        <f t="shared" si="36"/>
        <v>0</v>
      </c>
      <c r="F345" s="19">
        <f t="shared" si="37"/>
        <v>0</v>
      </c>
      <c r="G345" s="20">
        <f t="shared" si="38"/>
        <v>0</v>
      </c>
      <c r="H345" s="20">
        <v>0</v>
      </c>
      <c r="I345" s="20">
        <f t="shared" si="39"/>
        <v>0</v>
      </c>
      <c r="J345" s="20">
        <f t="shared" si="40"/>
        <v>0</v>
      </c>
      <c r="K345" s="18"/>
    </row>
    <row r="346" spans="1:11" x14ac:dyDescent="0.25">
      <c r="A346" s="25">
        <v>335</v>
      </c>
      <c r="B346" s="26">
        <v>54728</v>
      </c>
      <c r="C346" s="20">
        <f t="shared" si="41"/>
        <v>0</v>
      </c>
      <c r="D346" s="27">
        <f t="shared" si="35"/>
        <v>0</v>
      </c>
      <c r="E346" s="19">
        <f t="shared" si="36"/>
        <v>0</v>
      </c>
      <c r="F346" s="19">
        <f t="shared" si="37"/>
        <v>0</v>
      </c>
      <c r="G346" s="20">
        <f t="shared" si="38"/>
        <v>0</v>
      </c>
      <c r="H346" s="20">
        <v>0</v>
      </c>
      <c r="I346" s="20">
        <f t="shared" si="39"/>
        <v>0</v>
      </c>
      <c r="J346" s="20">
        <f t="shared" si="40"/>
        <v>0</v>
      </c>
      <c r="K346" s="18"/>
    </row>
    <row r="347" spans="1:11" x14ac:dyDescent="0.25">
      <c r="A347" s="25">
        <v>336</v>
      </c>
      <c r="B347" s="26">
        <v>54758</v>
      </c>
      <c r="C347" s="20">
        <f t="shared" si="41"/>
        <v>0</v>
      </c>
      <c r="D347" s="27">
        <f t="shared" si="35"/>
        <v>0</v>
      </c>
      <c r="E347" s="19">
        <f t="shared" si="36"/>
        <v>0</v>
      </c>
      <c r="F347" s="19">
        <f t="shared" si="37"/>
        <v>0</v>
      </c>
      <c r="G347" s="20">
        <f t="shared" si="38"/>
        <v>0</v>
      </c>
      <c r="H347" s="20">
        <v>0</v>
      </c>
      <c r="I347" s="20">
        <f t="shared" si="39"/>
        <v>0</v>
      </c>
      <c r="J347" s="20">
        <f t="shared" si="40"/>
        <v>0</v>
      </c>
      <c r="K347" s="18"/>
    </row>
    <row r="348" spans="1:11" x14ac:dyDescent="0.25">
      <c r="A348" s="25">
        <v>337</v>
      </c>
      <c r="B348" s="26">
        <v>54789</v>
      </c>
      <c r="C348" s="20">
        <f t="shared" si="41"/>
        <v>0</v>
      </c>
      <c r="D348" s="27">
        <f t="shared" si="35"/>
        <v>0</v>
      </c>
      <c r="E348" s="19">
        <f t="shared" si="36"/>
        <v>0</v>
      </c>
      <c r="F348" s="19">
        <f t="shared" si="37"/>
        <v>0</v>
      </c>
      <c r="G348" s="20">
        <f t="shared" si="38"/>
        <v>0</v>
      </c>
      <c r="H348" s="20">
        <v>0</v>
      </c>
      <c r="I348" s="20">
        <f t="shared" si="39"/>
        <v>0</v>
      </c>
      <c r="J348" s="20">
        <f t="shared" si="40"/>
        <v>0</v>
      </c>
      <c r="K348" s="18"/>
    </row>
    <row r="349" spans="1:11" x14ac:dyDescent="0.25">
      <c r="A349" s="25">
        <v>338</v>
      </c>
      <c r="B349" s="26">
        <v>54820</v>
      </c>
      <c r="C349" s="20">
        <f t="shared" si="41"/>
        <v>0</v>
      </c>
      <c r="D349" s="27">
        <f t="shared" si="35"/>
        <v>0</v>
      </c>
      <c r="E349" s="19">
        <f t="shared" si="36"/>
        <v>0</v>
      </c>
      <c r="F349" s="19">
        <f t="shared" si="37"/>
        <v>0</v>
      </c>
      <c r="G349" s="20">
        <f t="shared" si="38"/>
        <v>0</v>
      </c>
      <c r="H349" s="20">
        <v>0</v>
      </c>
      <c r="I349" s="20">
        <f t="shared" si="39"/>
        <v>0</v>
      </c>
      <c r="J349" s="20">
        <f t="shared" si="40"/>
        <v>0</v>
      </c>
      <c r="K349" s="18"/>
    </row>
    <row r="350" spans="1:11" x14ac:dyDescent="0.25">
      <c r="A350" s="25">
        <v>339</v>
      </c>
      <c r="B350" s="26">
        <v>54848</v>
      </c>
      <c r="C350" s="20">
        <f t="shared" si="41"/>
        <v>0</v>
      </c>
      <c r="D350" s="27">
        <f t="shared" si="35"/>
        <v>0</v>
      </c>
      <c r="E350" s="19">
        <f t="shared" si="36"/>
        <v>0</v>
      </c>
      <c r="F350" s="19">
        <f t="shared" si="37"/>
        <v>0</v>
      </c>
      <c r="G350" s="20">
        <f t="shared" si="38"/>
        <v>0</v>
      </c>
      <c r="H350" s="20">
        <v>0</v>
      </c>
      <c r="I350" s="20">
        <f t="shared" si="39"/>
        <v>0</v>
      </c>
      <c r="J350" s="20">
        <f t="shared" si="40"/>
        <v>0</v>
      </c>
      <c r="K350" s="18"/>
    </row>
    <row r="351" spans="1:11" x14ac:dyDescent="0.25">
      <c r="A351" s="25">
        <v>340</v>
      </c>
      <c r="B351" s="26">
        <v>54879</v>
      </c>
      <c r="C351" s="20">
        <f t="shared" si="41"/>
        <v>0</v>
      </c>
      <c r="D351" s="27">
        <f t="shared" si="35"/>
        <v>0</v>
      </c>
      <c r="E351" s="19">
        <f t="shared" si="36"/>
        <v>0</v>
      </c>
      <c r="F351" s="19">
        <f t="shared" si="37"/>
        <v>0</v>
      </c>
      <c r="G351" s="20">
        <f t="shared" si="38"/>
        <v>0</v>
      </c>
      <c r="H351" s="20">
        <v>0</v>
      </c>
      <c r="I351" s="20">
        <f t="shared" si="39"/>
        <v>0</v>
      </c>
      <c r="J351" s="20">
        <f t="shared" si="40"/>
        <v>0</v>
      </c>
      <c r="K351" s="18"/>
    </row>
    <row r="352" spans="1:11" x14ac:dyDescent="0.25">
      <c r="A352" s="25">
        <v>341</v>
      </c>
      <c r="B352" s="26">
        <v>54909</v>
      </c>
      <c r="C352" s="20">
        <f t="shared" si="41"/>
        <v>0</v>
      </c>
      <c r="D352" s="27">
        <f t="shared" si="35"/>
        <v>0</v>
      </c>
      <c r="E352" s="19">
        <f t="shared" si="36"/>
        <v>0</v>
      </c>
      <c r="F352" s="19">
        <f t="shared" si="37"/>
        <v>0</v>
      </c>
      <c r="G352" s="20">
        <f t="shared" si="38"/>
        <v>0</v>
      </c>
      <c r="H352" s="20">
        <v>0</v>
      </c>
      <c r="I352" s="20">
        <f t="shared" si="39"/>
        <v>0</v>
      </c>
      <c r="J352" s="20">
        <f t="shared" si="40"/>
        <v>0</v>
      </c>
      <c r="K352" s="18"/>
    </row>
    <row r="353" spans="1:11" x14ac:dyDescent="0.25">
      <c r="A353" s="25">
        <v>342</v>
      </c>
      <c r="B353" s="26">
        <v>54940</v>
      </c>
      <c r="C353" s="20">
        <f t="shared" si="41"/>
        <v>0</v>
      </c>
      <c r="D353" s="27">
        <f t="shared" si="35"/>
        <v>0</v>
      </c>
      <c r="E353" s="19">
        <f t="shared" si="36"/>
        <v>0</v>
      </c>
      <c r="F353" s="19">
        <f t="shared" si="37"/>
        <v>0</v>
      </c>
      <c r="G353" s="20">
        <f t="shared" si="38"/>
        <v>0</v>
      </c>
      <c r="H353" s="20">
        <v>0</v>
      </c>
      <c r="I353" s="20">
        <f t="shared" si="39"/>
        <v>0</v>
      </c>
      <c r="J353" s="20">
        <f t="shared" si="40"/>
        <v>0</v>
      </c>
      <c r="K353" s="18"/>
    </row>
    <row r="354" spans="1:11" x14ac:dyDescent="0.25">
      <c r="A354" s="25">
        <v>343</v>
      </c>
      <c r="B354" s="26">
        <v>54970</v>
      </c>
      <c r="C354" s="20">
        <f t="shared" si="41"/>
        <v>0</v>
      </c>
      <c r="D354" s="27">
        <f t="shared" si="35"/>
        <v>0</v>
      </c>
      <c r="E354" s="19">
        <f t="shared" si="36"/>
        <v>0</v>
      </c>
      <c r="F354" s="19">
        <f t="shared" si="37"/>
        <v>0</v>
      </c>
      <c r="G354" s="20">
        <f t="shared" si="38"/>
        <v>0</v>
      </c>
      <c r="H354" s="20">
        <v>0</v>
      </c>
      <c r="I354" s="20">
        <f t="shared" si="39"/>
        <v>0</v>
      </c>
      <c r="J354" s="20">
        <f t="shared" si="40"/>
        <v>0</v>
      </c>
      <c r="K354" s="18"/>
    </row>
    <row r="355" spans="1:11" x14ac:dyDescent="0.25">
      <c r="A355" s="25">
        <v>344</v>
      </c>
      <c r="B355" s="26">
        <v>55001</v>
      </c>
      <c r="C355" s="20">
        <f t="shared" si="41"/>
        <v>0</v>
      </c>
      <c r="D355" s="27">
        <f t="shared" si="35"/>
        <v>0</v>
      </c>
      <c r="E355" s="19">
        <f t="shared" si="36"/>
        <v>0</v>
      </c>
      <c r="F355" s="19">
        <f t="shared" si="37"/>
        <v>0</v>
      </c>
      <c r="G355" s="20">
        <f t="shared" si="38"/>
        <v>0</v>
      </c>
      <c r="H355" s="20">
        <v>0</v>
      </c>
      <c r="I355" s="20">
        <f t="shared" si="39"/>
        <v>0</v>
      </c>
      <c r="J355" s="20">
        <f t="shared" si="40"/>
        <v>0</v>
      </c>
      <c r="K355" s="18"/>
    </row>
    <row r="356" spans="1:11" x14ac:dyDescent="0.25">
      <c r="A356" s="25">
        <v>345</v>
      </c>
      <c r="B356" s="26">
        <v>55032</v>
      </c>
      <c r="C356" s="20">
        <f t="shared" si="41"/>
        <v>0</v>
      </c>
      <c r="D356" s="27">
        <f t="shared" si="35"/>
        <v>0</v>
      </c>
      <c r="E356" s="19">
        <f t="shared" si="36"/>
        <v>0</v>
      </c>
      <c r="F356" s="19">
        <f t="shared" si="37"/>
        <v>0</v>
      </c>
      <c r="G356" s="20">
        <f t="shared" si="38"/>
        <v>0</v>
      </c>
      <c r="H356" s="20">
        <v>0</v>
      </c>
      <c r="I356" s="20">
        <f t="shared" si="39"/>
        <v>0</v>
      </c>
      <c r="J356" s="20">
        <f t="shared" si="40"/>
        <v>0</v>
      </c>
      <c r="K356" s="18"/>
    </row>
    <row r="357" spans="1:11" x14ac:dyDescent="0.25">
      <c r="A357" s="25">
        <v>346</v>
      </c>
      <c r="B357" s="26">
        <v>55062</v>
      </c>
      <c r="C357" s="20">
        <f t="shared" si="41"/>
        <v>0</v>
      </c>
      <c r="D357" s="27">
        <f t="shared" si="35"/>
        <v>0</v>
      </c>
      <c r="E357" s="19">
        <f t="shared" si="36"/>
        <v>0</v>
      </c>
      <c r="F357" s="19">
        <f t="shared" si="37"/>
        <v>0</v>
      </c>
      <c r="G357" s="20">
        <f t="shared" si="38"/>
        <v>0</v>
      </c>
      <c r="H357" s="20">
        <v>0</v>
      </c>
      <c r="I357" s="20">
        <f t="shared" si="39"/>
        <v>0</v>
      </c>
      <c r="J357" s="20">
        <f t="shared" si="40"/>
        <v>0</v>
      </c>
      <c r="K357" s="18"/>
    </row>
    <row r="358" spans="1:11" x14ac:dyDescent="0.25">
      <c r="A358" s="25">
        <v>347</v>
      </c>
      <c r="B358" s="26">
        <v>55093</v>
      </c>
      <c r="C358" s="20">
        <f t="shared" si="41"/>
        <v>0</v>
      </c>
      <c r="D358" s="27">
        <f t="shared" si="35"/>
        <v>0</v>
      </c>
      <c r="E358" s="19">
        <f t="shared" si="36"/>
        <v>0</v>
      </c>
      <c r="F358" s="19">
        <f t="shared" si="37"/>
        <v>0</v>
      </c>
      <c r="G358" s="20">
        <f t="shared" si="38"/>
        <v>0</v>
      </c>
      <c r="H358" s="20">
        <v>0</v>
      </c>
      <c r="I358" s="20">
        <f t="shared" si="39"/>
        <v>0</v>
      </c>
      <c r="J358" s="20">
        <f t="shared" si="40"/>
        <v>0</v>
      </c>
      <c r="K358" s="18"/>
    </row>
    <row r="359" spans="1:11" x14ac:dyDescent="0.25">
      <c r="A359" s="25">
        <v>348</v>
      </c>
      <c r="B359" s="26">
        <v>55123</v>
      </c>
      <c r="C359" s="20">
        <f t="shared" si="41"/>
        <v>0</v>
      </c>
      <c r="D359" s="27">
        <f t="shared" si="35"/>
        <v>0</v>
      </c>
      <c r="E359" s="19">
        <f t="shared" si="36"/>
        <v>0</v>
      </c>
      <c r="F359" s="19">
        <f t="shared" si="37"/>
        <v>0</v>
      </c>
      <c r="G359" s="20">
        <f t="shared" si="38"/>
        <v>0</v>
      </c>
      <c r="H359" s="20">
        <v>0</v>
      </c>
      <c r="I359" s="20">
        <f t="shared" si="39"/>
        <v>0</v>
      </c>
      <c r="J359" s="20">
        <f t="shared" si="40"/>
        <v>0</v>
      </c>
      <c r="K359" s="18"/>
    </row>
    <row r="360" spans="1:11" x14ac:dyDescent="0.25">
      <c r="A360" s="25">
        <v>349</v>
      </c>
      <c r="B360" s="26">
        <v>55154</v>
      </c>
      <c r="C360" s="20">
        <f t="shared" si="41"/>
        <v>0</v>
      </c>
      <c r="D360" s="27">
        <f t="shared" si="35"/>
        <v>0</v>
      </c>
      <c r="E360" s="19">
        <f t="shared" si="36"/>
        <v>0</v>
      </c>
      <c r="F360" s="19">
        <f t="shared" si="37"/>
        <v>0</v>
      </c>
      <c r="G360" s="20">
        <f t="shared" si="38"/>
        <v>0</v>
      </c>
      <c r="H360" s="20">
        <v>0</v>
      </c>
      <c r="I360" s="20">
        <f t="shared" si="39"/>
        <v>0</v>
      </c>
      <c r="J360" s="20">
        <f t="shared" si="40"/>
        <v>0</v>
      </c>
      <c r="K360" s="18"/>
    </row>
    <row r="361" spans="1:11" x14ac:dyDescent="0.25">
      <c r="A361" s="25">
        <v>350</v>
      </c>
      <c r="B361" s="26">
        <v>55185</v>
      </c>
      <c r="C361" s="20">
        <f t="shared" si="41"/>
        <v>0</v>
      </c>
      <c r="D361" s="27">
        <f t="shared" si="35"/>
        <v>0</v>
      </c>
      <c r="E361" s="19">
        <f t="shared" si="36"/>
        <v>0</v>
      </c>
      <c r="F361" s="19">
        <f t="shared" si="37"/>
        <v>0</v>
      </c>
      <c r="G361" s="20">
        <f t="shared" si="38"/>
        <v>0</v>
      </c>
      <c r="H361" s="20">
        <v>0</v>
      </c>
      <c r="I361" s="20">
        <f t="shared" si="39"/>
        <v>0</v>
      </c>
      <c r="J361" s="20">
        <f t="shared" si="40"/>
        <v>0</v>
      </c>
      <c r="K361" s="18"/>
    </row>
    <row r="362" spans="1:11" x14ac:dyDescent="0.25">
      <c r="A362" s="25">
        <v>351</v>
      </c>
      <c r="B362" s="26">
        <v>55213</v>
      </c>
      <c r="C362" s="20">
        <f t="shared" si="41"/>
        <v>0</v>
      </c>
      <c r="D362" s="27">
        <f t="shared" si="35"/>
        <v>0</v>
      </c>
      <c r="E362" s="19">
        <f t="shared" si="36"/>
        <v>0</v>
      </c>
      <c r="F362" s="19">
        <f t="shared" si="37"/>
        <v>0</v>
      </c>
      <c r="G362" s="20">
        <f t="shared" si="38"/>
        <v>0</v>
      </c>
      <c r="H362" s="20">
        <v>0</v>
      </c>
      <c r="I362" s="20">
        <f t="shared" si="39"/>
        <v>0</v>
      </c>
      <c r="J362" s="20">
        <f t="shared" si="40"/>
        <v>0</v>
      </c>
      <c r="K362" s="18"/>
    </row>
    <row r="363" spans="1:11" x14ac:dyDescent="0.25">
      <c r="A363" s="25">
        <v>352</v>
      </c>
      <c r="B363" s="26">
        <v>55244</v>
      </c>
      <c r="C363" s="20">
        <f t="shared" si="41"/>
        <v>0</v>
      </c>
      <c r="D363" s="27">
        <f t="shared" si="35"/>
        <v>0</v>
      </c>
      <c r="E363" s="19">
        <f t="shared" si="36"/>
        <v>0</v>
      </c>
      <c r="F363" s="19">
        <f t="shared" si="37"/>
        <v>0</v>
      </c>
      <c r="G363" s="20">
        <f t="shared" si="38"/>
        <v>0</v>
      </c>
      <c r="H363" s="20">
        <v>0</v>
      </c>
      <c r="I363" s="20">
        <f t="shared" si="39"/>
        <v>0</v>
      </c>
      <c r="J363" s="20">
        <f t="shared" si="40"/>
        <v>0</v>
      </c>
      <c r="K363" s="18"/>
    </row>
    <row r="364" spans="1:11" x14ac:dyDescent="0.25">
      <c r="A364" s="25">
        <v>353</v>
      </c>
      <c r="B364" s="26">
        <v>55274</v>
      </c>
      <c r="C364" s="20">
        <f t="shared" si="41"/>
        <v>0</v>
      </c>
      <c r="D364" s="27">
        <f t="shared" si="35"/>
        <v>0</v>
      </c>
      <c r="E364" s="19">
        <f t="shared" si="36"/>
        <v>0</v>
      </c>
      <c r="F364" s="19">
        <f t="shared" si="37"/>
        <v>0</v>
      </c>
      <c r="G364" s="20">
        <f t="shared" si="38"/>
        <v>0</v>
      </c>
      <c r="H364" s="20">
        <v>0</v>
      </c>
      <c r="I364" s="20">
        <f t="shared" si="39"/>
        <v>0</v>
      </c>
      <c r="J364" s="20">
        <f t="shared" si="40"/>
        <v>0</v>
      </c>
      <c r="K364" s="18"/>
    </row>
    <row r="365" spans="1:11" x14ac:dyDescent="0.25">
      <c r="A365" s="25">
        <v>354</v>
      </c>
      <c r="B365" s="26">
        <v>55305</v>
      </c>
      <c r="C365" s="20">
        <f t="shared" si="41"/>
        <v>0</v>
      </c>
      <c r="D365" s="27">
        <f t="shared" si="35"/>
        <v>0</v>
      </c>
      <c r="E365" s="19">
        <f t="shared" si="36"/>
        <v>0</v>
      </c>
      <c r="F365" s="19">
        <f t="shared" si="37"/>
        <v>0</v>
      </c>
      <c r="G365" s="20">
        <f t="shared" si="38"/>
        <v>0</v>
      </c>
      <c r="H365" s="20">
        <v>0</v>
      </c>
      <c r="I365" s="20">
        <f t="shared" si="39"/>
        <v>0</v>
      </c>
      <c r="J365" s="20">
        <f t="shared" si="40"/>
        <v>0</v>
      </c>
      <c r="K365" s="18"/>
    </row>
    <row r="366" spans="1:11" x14ac:dyDescent="0.25">
      <c r="A366" s="25">
        <v>355</v>
      </c>
      <c r="B366" s="26">
        <v>55335</v>
      </c>
      <c r="C366" s="20">
        <f t="shared" si="41"/>
        <v>0</v>
      </c>
      <c r="D366" s="27">
        <f t="shared" si="35"/>
        <v>0</v>
      </c>
      <c r="E366" s="19">
        <f t="shared" si="36"/>
        <v>0</v>
      </c>
      <c r="F366" s="19">
        <f t="shared" si="37"/>
        <v>0</v>
      </c>
      <c r="G366" s="20">
        <f t="shared" si="38"/>
        <v>0</v>
      </c>
      <c r="H366" s="20">
        <v>0</v>
      </c>
      <c r="I366" s="20">
        <f t="shared" si="39"/>
        <v>0</v>
      </c>
      <c r="J366" s="20">
        <f t="shared" si="40"/>
        <v>0</v>
      </c>
      <c r="K366" s="18"/>
    </row>
    <row r="367" spans="1:11" x14ac:dyDescent="0.25">
      <c r="A367" s="25">
        <v>356</v>
      </c>
      <c r="B367" s="26">
        <v>55366</v>
      </c>
      <c r="C367" s="20">
        <f t="shared" si="41"/>
        <v>0</v>
      </c>
      <c r="D367" s="27">
        <f t="shared" si="35"/>
        <v>0</v>
      </c>
      <c r="E367" s="19">
        <f t="shared" si="36"/>
        <v>0</v>
      </c>
      <c r="F367" s="19">
        <f t="shared" si="37"/>
        <v>0</v>
      </c>
      <c r="G367" s="20">
        <f t="shared" si="38"/>
        <v>0</v>
      </c>
      <c r="H367" s="20">
        <v>0</v>
      </c>
      <c r="I367" s="20">
        <f t="shared" si="39"/>
        <v>0</v>
      </c>
      <c r="J367" s="20">
        <f t="shared" si="40"/>
        <v>0</v>
      </c>
      <c r="K367" s="18"/>
    </row>
    <row r="368" spans="1:11" x14ac:dyDescent="0.25">
      <c r="A368" s="25">
        <v>357</v>
      </c>
      <c r="B368" s="26">
        <v>55397</v>
      </c>
      <c r="C368" s="20">
        <f t="shared" si="41"/>
        <v>0</v>
      </c>
      <c r="D368" s="27">
        <f t="shared" si="35"/>
        <v>0</v>
      </c>
      <c r="E368" s="19">
        <f t="shared" si="36"/>
        <v>0</v>
      </c>
      <c r="F368" s="19">
        <f t="shared" si="37"/>
        <v>0</v>
      </c>
      <c r="G368" s="20">
        <f t="shared" si="38"/>
        <v>0</v>
      </c>
      <c r="H368" s="20">
        <v>0</v>
      </c>
      <c r="I368" s="20">
        <f t="shared" si="39"/>
        <v>0</v>
      </c>
      <c r="J368" s="20">
        <f t="shared" si="40"/>
        <v>0</v>
      </c>
      <c r="K368" s="18"/>
    </row>
    <row r="369" spans="1:11" x14ac:dyDescent="0.25">
      <c r="A369" s="25">
        <v>358</v>
      </c>
      <c r="B369" s="26">
        <v>55427</v>
      </c>
      <c r="C369" s="20">
        <f t="shared" si="41"/>
        <v>0</v>
      </c>
      <c r="D369" s="27">
        <f t="shared" si="35"/>
        <v>0</v>
      </c>
      <c r="E369" s="19">
        <f t="shared" si="36"/>
        <v>0</v>
      </c>
      <c r="F369" s="19">
        <f t="shared" si="37"/>
        <v>0</v>
      </c>
      <c r="G369" s="20">
        <f t="shared" si="38"/>
        <v>0</v>
      </c>
      <c r="H369" s="20">
        <v>0</v>
      </c>
      <c r="I369" s="20">
        <f t="shared" si="39"/>
        <v>0</v>
      </c>
      <c r="J369" s="20">
        <f t="shared" si="40"/>
        <v>0</v>
      </c>
      <c r="K369" s="18"/>
    </row>
    <row r="370" spans="1:11" x14ac:dyDescent="0.25">
      <c r="A370" s="25">
        <v>359</v>
      </c>
      <c r="B370" s="26">
        <v>55458</v>
      </c>
      <c r="C370" s="20">
        <f t="shared" si="41"/>
        <v>0</v>
      </c>
      <c r="D370" s="27">
        <f t="shared" si="35"/>
        <v>0</v>
      </c>
      <c r="E370" s="19">
        <f t="shared" si="36"/>
        <v>0</v>
      </c>
      <c r="F370" s="19">
        <f t="shared" si="37"/>
        <v>0</v>
      </c>
      <c r="G370" s="20">
        <f t="shared" si="38"/>
        <v>0</v>
      </c>
      <c r="H370" s="20">
        <v>0</v>
      </c>
      <c r="I370" s="20">
        <f t="shared" si="39"/>
        <v>0</v>
      </c>
      <c r="J370" s="20">
        <f t="shared" si="40"/>
        <v>0</v>
      </c>
      <c r="K370" s="18"/>
    </row>
    <row r="371" spans="1:11" x14ac:dyDescent="0.25">
      <c r="A371" s="25">
        <v>360</v>
      </c>
      <c r="B371" s="26">
        <v>55488</v>
      </c>
      <c r="C371" s="20">
        <f t="shared" si="41"/>
        <v>0</v>
      </c>
      <c r="D371" s="27">
        <f t="shared" si="35"/>
        <v>0</v>
      </c>
      <c r="E371" s="19">
        <f t="shared" si="36"/>
        <v>0</v>
      </c>
      <c r="F371" s="19">
        <f t="shared" si="37"/>
        <v>0</v>
      </c>
      <c r="G371" s="20">
        <f t="shared" si="38"/>
        <v>0</v>
      </c>
      <c r="H371" s="20">
        <v>0</v>
      </c>
      <c r="I371" s="20">
        <f t="shared" si="39"/>
        <v>0</v>
      </c>
      <c r="J371" s="20">
        <f t="shared" si="40"/>
        <v>0</v>
      </c>
      <c r="K371" s="18"/>
    </row>
    <row r="372" spans="1:11" x14ac:dyDescent="0.25">
      <c r="A372" s="25">
        <v>361</v>
      </c>
      <c r="B372" s="26">
        <v>55519</v>
      </c>
      <c r="C372" s="20">
        <f t="shared" ref="C372" si="42">IF(J371&gt;0,J371,0)</f>
        <v>0</v>
      </c>
      <c r="D372" s="27">
        <f t="shared" ref="D372" si="43">C372*$C$6</f>
        <v>0</v>
      </c>
      <c r="E372" s="19">
        <f t="shared" ref="E372" si="44">C372+D372</f>
        <v>0</v>
      </c>
      <c r="F372" s="19">
        <f t="shared" ref="F372" si="45">IF(C372&gt;0,$C$4/$C$8,0)</f>
        <v>0</v>
      </c>
      <c r="G372" s="20">
        <f t="shared" ref="G372" si="46">IF(C372&gt;0,F372+D372,0)</f>
        <v>0</v>
      </c>
      <c r="H372" s="20">
        <v>0</v>
      </c>
      <c r="I372" s="20">
        <f t="shared" ref="I372" si="47">IF(C372&gt;0,H372+G372,0)</f>
        <v>0</v>
      </c>
      <c r="J372" s="20">
        <f t="shared" si="40"/>
        <v>0</v>
      </c>
      <c r="K372" s="18"/>
    </row>
    <row r="373" spans="1:11" x14ac:dyDescent="0.25">
      <c r="A373" s="25">
        <v>362</v>
      </c>
      <c r="B373" s="26">
        <v>55550</v>
      </c>
      <c r="C373" s="20">
        <f t="shared" ref="C373:C419" si="48">IF(J372&gt;0,J372,0)</f>
        <v>0</v>
      </c>
      <c r="D373" s="27">
        <f t="shared" ref="D373:D419" si="49">C373*$C$6</f>
        <v>0</v>
      </c>
      <c r="E373" s="19">
        <f t="shared" ref="E373:E419" si="50">C373+D373</f>
        <v>0</v>
      </c>
      <c r="F373" s="19">
        <f t="shared" ref="F373:F419" si="51">IF(C373&gt;0,$C$4/$C$8,0)</f>
        <v>0</v>
      </c>
      <c r="G373" s="20">
        <f t="shared" ref="G373:G419" si="52">IF(C373&gt;0,F373+D373,0)</f>
        <v>0</v>
      </c>
      <c r="H373" s="20">
        <v>0</v>
      </c>
      <c r="I373" s="20">
        <f t="shared" ref="I373:I419" si="53">IF(C373&gt;0,H373+G373,0)</f>
        <v>0</v>
      </c>
      <c r="J373" s="20">
        <f t="shared" si="40"/>
        <v>0</v>
      </c>
      <c r="K373" s="18"/>
    </row>
    <row r="374" spans="1:11" x14ac:dyDescent="0.25">
      <c r="A374" s="25">
        <v>363</v>
      </c>
      <c r="B374" s="26">
        <v>55579</v>
      </c>
      <c r="C374" s="20">
        <f t="shared" si="48"/>
        <v>0</v>
      </c>
      <c r="D374" s="27">
        <f t="shared" si="49"/>
        <v>0</v>
      </c>
      <c r="E374" s="19">
        <f t="shared" si="50"/>
        <v>0</v>
      </c>
      <c r="F374" s="19">
        <f t="shared" si="51"/>
        <v>0</v>
      </c>
      <c r="G374" s="20">
        <f t="shared" si="52"/>
        <v>0</v>
      </c>
      <c r="H374" s="20">
        <v>0</v>
      </c>
      <c r="I374" s="20">
        <f t="shared" si="53"/>
        <v>0</v>
      </c>
      <c r="J374" s="20">
        <f t="shared" si="40"/>
        <v>0</v>
      </c>
      <c r="K374" s="18"/>
    </row>
    <row r="375" spans="1:11" x14ac:dyDescent="0.25">
      <c r="A375" s="25">
        <v>364</v>
      </c>
      <c r="B375" s="26">
        <v>55610</v>
      </c>
      <c r="C375" s="20">
        <f t="shared" si="48"/>
        <v>0</v>
      </c>
      <c r="D375" s="27">
        <f t="shared" si="49"/>
        <v>0</v>
      </c>
      <c r="E375" s="19">
        <f t="shared" si="50"/>
        <v>0</v>
      </c>
      <c r="F375" s="19">
        <f t="shared" si="51"/>
        <v>0</v>
      </c>
      <c r="G375" s="20">
        <f t="shared" si="52"/>
        <v>0</v>
      </c>
      <c r="H375" s="20">
        <v>0</v>
      </c>
      <c r="I375" s="20">
        <f t="shared" si="53"/>
        <v>0</v>
      </c>
      <c r="J375" s="20">
        <f t="shared" si="40"/>
        <v>0</v>
      </c>
      <c r="K375" s="18"/>
    </row>
    <row r="376" spans="1:11" x14ac:dyDescent="0.25">
      <c r="A376" s="25">
        <v>365</v>
      </c>
      <c r="B376" s="26">
        <v>55640</v>
      </c>
      <c r="C376" s="20">
        <f t="shared" si="48"/>
        <v>0</v>
      </c>
      <c r="D376" s="27">
        <f t="shared" si="49"/>
        <v>0</v>
      </c>
      <c r="E376" s="19">
        <f t="shared" si="50"/>
        <v>0</v>
      </c>
      <c r="F376" s="19">
        <f t="shared" si="51"/>
        <v>0</v>
      </c>
      <c r="G376" s="20">
        <f t="shared" si="52"/>
        <v>0</v>
      </c>
      <c r="H376" s="20">
        <v>0</v>
      </c>
      <c r="I376" s="20">
        <f t="shared" si="53"/>
        <v>0</v>
      </c>
      <c r="J376" s="20">
        <f t="shared" si="40"/>
        <v>0</v>
      </c>
      <c r="K376" s="18"/>
    </row>
    <row r="377" spans="1:11" x14ac:dyDescent="0.25">
      <c r="A377" s="25">
        <v>366</v>
      </c>
      <c r="B377" s="26">
        <v>55671</v>
      </c>
      <c r="C377" s="20">
        <f t="shared" si="48"/>
        <v>0</v>
      </c>
      <c r="D377" s="27">
        <f t="shared" si="49"/>
        <v>0</v>
      </c>
      <c r="E377" s="19">
        <f t="shared" si="50"/>
        <v>0</v>
      </c>
      <c r="F377" s="19">
        <f t="shared" si="51"/>
        <v>0</v>
      </c>
      <c r="G377" s="20">
        <f t="shared" si="52"/>
        <v>0</v>
      </c>
      <c r="H377" s="20">
        <v>0</v>
      </c>
      <c r="I377" s="20">
        <f t="shared" si="53"/>
        <v>0</v>
      </c>
      <c r="J377" s="20">
        <f t="shared" si="40"/>
        <v>0</v>
      </c>
      <c r="K377" s="18"/>
    </row>
    <row r="378" spans="1:11" x14ac:dyDescent="0.25">
      <c r="A378" s="25">
        <v>367</v>
      </c>
      <c r="B378" s="26">
        <v>55701</v>
      </c>
      <c r="C378" s="20">
        <f t="shared" si="48"/>
        <v>0</v>
      </c>
      <c r="D378" s="27">
        <f t="shared" si="49"/>
        <v>0</v>
      </c>
      <c r="E378" s="19">
        <f t="shared" si="50"/>
        <v>0</v>
      </c>
      <c r="F378" s="19">
        <f t="shared" si="51"/>
        <v>0</v>
      </c>
      <c r="G378" s="20">
        <f t="shared" si="52"/>
        <v>0</v>
      </c>
      <c r="H378" s="20">
        <v>0</v>
      </c>
      <c r="I378" s="20">
        <f t="shared" si="53"/>
        <v>0</v>
      </c>
      <c r="J378" s="20">
        <f t="shared" si="40"/>
        <v>0</v>
      </c>
      <c r="K378" s="18"/>
    </row>
    <row r="379" spans="1:11" x14ac:dyDescent="0.25">
      <c r="A379" s="25">
        <v>368</v>
      </c>
      <c r="B379" s="26">
        <v>55732</v>
      </c>
      <c r="C379" s="20">
        <f t="shared" si="48"/>
        <v>0</v>
      </c>
      <c r="D379" s="27">
        <f t="shared" si="49"/>
        <v>0</v>
      </c>
      <c r="E379" s="19">
        <f t="shared" si="50"/>
        <v>0</v>
      </c>
      <c r="F379" s="19">
        <f t="shared" si="51"/>
        <v>0</v>
      </c>
      <c r="G379" s="20">
        <f t="shared" si="52"/>
        <v>0</v>
      </c>
      <c r="H379" s="20">
        <v>0</v>
      </c>
      <c r="I379" s="20">
        <f t="shared" si="53"/>
        <v>0</v>
      </c>
      <c r="J379" s="20">
        <f t="shared" si="40"/>
        <v>0</v>
      </c>
      <c r="K379" s="18"/>
    </row>
    <row r="380" spans="1:11" x14ac:dyDescent="0.25">
      <c r="A380" s="25">
        <v>369</v>
      </c>
      <c r="B380" s="26">
        <v>55763</v>
      </c>
      <c r="C380" s="20">
        <f t="shared" si="48"/>
        <v>0</v>
      </c>
      <c r="D380" s="27">
        <f t="shared" si="49"/>
        <v>0</v>
      </c>
      <c r="E380" s="19">
        <f t="shared" si="50"/>
        <v>0</v>
      </c>
      <c r="F380" s="19">
        <f t="shared" si="51"/>
        <v>0</v>
      </c>
      <c r="G380" s="20">
        <f t="shared" si="52"/>
        <v>0</v>
      </c>
      <c r="H380" s="20">
        <v>0</v>
      </c>
      <c r="I380" s="20">
        <f t="shared" si="53"/>
        <v>0</v>
      </c>
      <c r="J380" s="20">
        <f t="shared" si="40"/>
        <v>0</v>
      </c>
      <c r="K380" s="18"/>
    </row>
    <row r="381" spans="1:11" x14ac:dyDescent="0.25">
      <c r="A381" s="25">
        <v>370</v>
      </c>
      <c r="B381" s="26">
        <v>55793</v>
      </c>
      <c r="C381" s="20">
        <f t="shared" si="48"/>
        <v>0</v>
      </c>
      <c r="D381" s="27">
        <f t="shared" si="49"/>
        <v>0</v>
      </c>
      <c r="E381" s="19">
        <f t="shared" si="50"/>
        <v>0</v>
      </c>
      <c r="F381" s="19">
        <f t="shared" si="51"/>
        <v>0</v>
      </c>
      <c r="G381" s="20">
        <f t="shared" si="52"/>
        <v>0</v>
      </c>
      <c r="H381" s="20">
        <v>0</v>
      </c>
      <c r="I381" s="20">
        <f t="shared" si="53"/>
        <v>0</v>
      </c>
      <c r="J381" s="20">
        <f t="shared" si="40"/>
        <v>0</v>
      </c>
      <c r="K381" s="18"/>
    </row>
    <row r="382" spans="1:11" x14ac:dyDescent="0.25">
      <c r="A382" s="25">
        <v>371</v>
      </c>
      <c r="B382" s="26">
        <v>55824</v>
      </c>
      <c r="C382" s="20">
        <f t="shared" si="48"/>
        <v>0</v>
      </c>
      <c r="D382" s="27">
        <f t="shared" si="49"/>
        <v>0</v>
      </c>
      <c r="E382" s="19">
        <f t="shared" si="50"/>
        <v>0</v>
      </c>
      <c r="F382" s="19">
        <f t="shared" si="51"/>
        <v>0</v>
      </c>
      <c r="G382" s="20">
        <f t="shared" si="52"/>
        <v>0</v>
      </c>
      <c r="H382" s="20">
        <v>0</v>
      </c>
      <c r="I382" s="20">
        <f t="shared" si="53"/>
        <v>0</v>
      </c>
      <c r="J382" s="20">
        <f t="shared" si="40"/>
        <v>0</v>
      </c>
      <c r="K382" s="18"/>
    </row>
    <row r="383" spans="1:11" x14ac:dyDescent="0.25">
      <c r="A383" s="25">
        <v>372</v>
      </c>
      <c r="B383" s="26">
        <v>55854</v>
      </c>
      <c r="C383" s="20">
        <f t="shared" si="48"/>
        <v>0</v>
      </c>
      <c r="D383" s="27">
        <f t="shared" si="49"/>
        <v>0</v>
      </c>
      <c r="E383" s="19">
        <f t="shared" si="50"/>
        <v>0</v>
      </c>
      <c r="F383" s="19">
        <f t="shared" si="51"/>
        <v>0</v>
      </c>
      <c r="G383" s="20">
        <f t="shared" si="52"/>
        <v>0</v>
      </c>
      <c r="H383" s="20">
        <v>0</v>
      </c>
      <c r="I383" s="20">
        <f t="shared" si="53"/>
        <v>0</v>
      </c>
      <c r="J383" s="20">
        <f t="shared" si="40"/>
        <v>0</v>
      </c>
      <c r="K383" s="18"/>
    </row>
    <row r="384" spans="1:11" x14ac:dyDescent="0.25">
      <c r="A384" s="25">
        <v>373</v>
      </c>
      <c r="B384" s="26">
        <v>55885</v>
      </c>
      <c r="C384" s="20">
        <f t="shared" si="48"/>
        <v>0</v>
      </c>
      <c r="D384" s="27">
        <f t="shared" si="49"/>
        <v>0</v>
      </c>
      <c r="E384" s="19">
        <f t="shared" si="50"/>
        <v>0</v>
      </c>
      <c r="F384" s="19">
        <f t="shared" si="51"/>
        <v>0</v>
      </c>
      <c r="G384" s="20">
        <f t="shared" si="52"/>
        <v>0</v>
      </c>
      <c r="H384" s="20">
        <v>0</v>
      </c>
      <c r="I384" s="20">
        <f t="shared" si="53"/>
        <v>0</v>
      </c>
      <c r="J384" s="20">
        <f t="shared" si="40"/>
        <v>0</v>
      </c>
      <c r="K384" s="18"/>
    </row>
    <row r="385" spans="1:11" x14ac:dyDescent="0.25">
      <c r="A385" s="25">
        <v>374</v>
      </c>
      <c r="B385" s="26">
        <v>55916</v>
      </c>
      <c r="C385" s="20">
        <f t="shared" si="48"/>
        <v>0</v>
      </c>
      <c r="D385" s="27">
        <f t="shared" si="49"/>
        <v>0</v>
      </c>
      <c r="E385" s="19">
        <f t="shared" si="50"/>
        <v>0</v>
      </c>
      <c r="F385" s="19">
        <f t="shared" si="51"/>
        <v>0</v>
      </c>
      <c r="G385" s="20">
        <f t="shared" si="52"/>
        <v>0</v>
      </c>
      <c r="H385" s="20">
        <v>0</v>
      </c>
      <c r="I385" s="20">
        <f t="shared" si="53"/>
        <v>0</v>
      </c>
      <c r="J385" s="20">
        <f t="shared" si="40"/>
        <v>0</v>
      </c>
      <c r="K385" s="18"/>
    </row>
    <row r="386" spans="1:11" x14ac:dyDescent="0.25">
      <c r="A386" s="25">
        <v>375</v>
      </c>
      <c r="B386" s="26">
        <v>55944</v>
      </c>
      <c r="C386" s="20">
        <f t="shared" si="48"/>
        <v>0</v>
      </c>
      <c r="D386" s="27">
        <f t="shared" si="49"/>
        <v>0</v>
      </c>
      <c r="E386" s="19">
        <f t="shared" si="50"/>
        <v>0</v>
      </c>
      <c r="F386" s="19">
        <f t="shared" si="51"/>
        <v>0</v>
      </c>
      <c r="G386" s="20">
        <f t="shared" si="52"/>
        <v>0</v>
      </c>
      <c r="H386" s="20">
        <v>0</v>
      </c>
      <c r="I386" s="20">
        <f t="shared" si="53"/>
        <v>0</v>
      </c>
      <c r="J386" s="20">
        <f t="shared" si="40"/>
        <v>0</v>
      </c>
      <c r="K386" s="18"/>
    </row>
    <row r="387" spans="1:11" x14ac:dyDescent="0.25">
      <c r="A387" s="25">
        <v>376</v>
      </c>
      <c r="B387" s="26">
        <v>55975</v>
      </c>
      <c r="C387" s="20">
        <f t="shared" si="48"/>
        <v>0</v>
      </c>
      <c r="D387" s="27">
        <f t="shared" si="49"/>
        <v>0</v>
      </c>
      <c r="E387" s="19">
        <f t="shared" si="50"/>
        <v>0</v>
      </c>
      <c r="F387" s="19">
        <f t="shared" si="51"/>
        <v>0</v>
      </c>
      <c r="G387" s="20">
        <f t="shared" si="52"/>
        <v>0</v>
      </c>
      <c r="H387" s="20">
        <v>0</v>
      </c>
      <c r="I387" s="20">
        <f t="shared" si="53"/>
        <v>0</v>
      </c>
      <c r="J387" s="20">
        <f t="shared" si="40"/>
        <v>0</v>
      </c>
      <c r="K387" s="18"/>
    </row>
    <row r="388" spans="1:11" x14ac:dyDescent="0.25">
      <c r="A388" s="25">
        <v>377</v>
      </c>
      <c r="B388" s="26">
        <v>56005</v>
      </c>
      <c r="C388" s="20">
        <f t="shared" si="48"/>
        <v>0</v>
      </c>
      <c r="D388" s="27">
        <f t="shared" si="49"/>
        <v>0</v>
      </c>
      <c r="E388" s="19">
        <f t="shared" si="50"/>
        <v>0</v>
      </c>
      <c r="F388" s="19">
        <f t="shared" si="51"/>
        <v>0</v>
      </c>
      <c r="G388" s="20">
        <f t="shared" si="52"/>
        <v>0</v>
      </c>
      <c r="H388" s="20">
        <v>0</v>
      </c>
      <c r="I388" s="20">
        <f t="shared" si="53"/>
        <v>0</v>
      </c>
      <c r="J388" s="20">
        <f t="shared" si="40"/>
        <v>0</v>
      </c>
      <c r="K388" s="18"/>
    </row>
    <row r="389" spans="1:11" x14ac:dyDescent="0.25">
      <c r="A389" s="25">
        <v>378</v>
      </c>
      <c r="B389" s="26">
        <v>56036</v>
      </c>
      <c r="C389" s="20">
        <f t="shared" si="48"/>
        <v>0</v>
      </c>
      <c r="D389" s="27">
        <f t="shared" si="49"/>
        <v>0</v>
      </c>
      <c r="E389" s="19">
        <f t="shared" si="50"/>
        <v>0</v>
      </c>
      <c r="F389" s="19">
        <f t="shared" si="51"/>
        <v>0</v>
      </c>
      <c r="G389" s="20">
        <f t="shared" si="52"/>
        <v>0</v>
      </c>
      <c r="H389" s="20">
        <v>0</v>
      </c>
      <c r="I389" s="20">
        <f t="shared" si="53"/>
        <v>0</v>
      </c>
      <c r="J389" s="20">
        <f t="shared" si="40"/>
        <v>0</v>
      </c>
      <c r="K389" s="18"/>
    </row>
    <row r="390" spans="1:11" x14ac:dyDescent="0.25">
      <c r="A390" s="25">
        <v>379</v>
      </c>
      <c r="B390" s="26">
        <v>56066</v>
      </c>
      <c r="C390" s="20">
        <f t="shared" si="48"/>
        <v>0</v>
      </c>
      <c r="D390" s="27">
        <f t="shared" si="49"/>
        <v>0</v>
      </c>
      <c r="E390" s="19">
        <f t="shared" si="50"/>
        <v>0</v>
      </c>
      <c r="F390" s="19">
        <f t="shared" si="51"/>
        <v>0</v>
      </c>
      <c r="G390" s="20">
        <f t="shared" si="52"/>
        <v>0</v>
      </c>
      <c r="H390" s="20">
        <v>0</v>
      </c>
      <c r="I390" s="20">
        <f t="shared" si="53"/>
        <v>0</v>
      </c>
      <c r="J390" s="20">
        <f t="shared" si="40"/>
        <v>0</v>
      </c>
      <c r="K390" s="18"/>
    </row>
    <row r="391" spans="1:11" x14ac:dyDescent="0.25">
      <c r="A391" s="25">
        <v>380</v>
      </c>
      <c r="B391" s="26">
        <v>56097</v>
      </c>
      <c r="C391" s="20">
        <f t="shared" si="48"/>
        <v>0</v>
      </c>
      <c r="D391" s="27">
        <f t="shared" si="49"/>
        <v>0</v>
      </c>
      <c r="E391" s="19">
        <f t="shared" si="50"/>
        <v>0</v>
      </c>
      <c r="F391" s="19">
        <f t="shared" si="51"/>
        <v>0</v>
      </c>
      <c r="G391" s="20">
        <f t="shared" si="52"/>
        <v>0</v>
      </c>
      <c r="H391" s="20">
        <v>0</v>
      </c>
      <c r="I391" s="20">
        <f t="shared" si="53"/>
        <v>0</v>
      </c>
      <c r="J391" s="20">
        <f t="shared" si="40"/>
        <v>0</v>
      </c>
      <c r="K391" s="18"/>
    </row>
    <row r="392" spans="1:11" x14ac:dyDescent="0.25">
      <c r="A392" s="25">
        <v>381</v>
      </c>
      <c r="B392" s="26">
        <v>56128</v>
      </c>
      <c r="C392" s="20">
        <f t="shared" si="48"/>
        <v>0</v>
      </c>
      <c r="D392" s="27">
        <f t="shared" si="49"/>
        <v>0</v>
      </c>
      <c r="E392" s="19">
        <f t="shared" si="50"/>
        <v>0</v>
      </c>
      <c r="F392" s="19">
        <f t="shared" si="51"/>
        <v>0</v>
      </c>
      <c r="G392" s="20">
        <f t="shared" si="52"/>
        <v>0</v>
      </c>
      <c r="H392" s="20">
        <v>0</v>
      </c>
      <c r="I392" s="20">
        <f t="shared" si="53"/>
        <v>0</v>
      </c>
      <c r="J392" s="20">
        <f t="shared" si="40"/>
        <v>0</v>
      </c>
      <c r="K392" s="18"/>
    </row>
    <row r="393" spans="1:11" x14ac:dyDescent="0.25">
      <c r="A393" s="25">
        <v>382</v>
      </c>
      <c r="B393" s="26">
        <v>56158</v>
      </c>
      <c r="C393" s="20">
        <f t="shared" si="48"/>
        <v>0</v>
      </c>
      <c r="D393" s="27">
        <f t="shared" si="49"/>
        <v>0</v>
      </c>
      <c r="E393" s="19">
        <f t="shared" si="50"/>
        <v>0</v>
      </c>
      <c r="F393" s="19">
        <f t="shared" si="51"/>
        <v>0</v>
      </c>
      <c r="G393" s="20">
        <f t="shared" si="52"/>
        <v>0</v>
      </c>
      <c r="H393" s="20">
        <v>0</v>
      </c>
      <c r="I393" s="20">
        <f t="shared" si="53"/>
        <v>0</v>
      </c>
      <c r="J393" s="20">
        <f t="shared" si="40"/>
        <v>0</v>
      </c>
      <c r="K393" s="18"/>
    </row>
    <row r="394" spans="1:11" x14ac:dyDescent="0.25">
      <c r="A394" s="25">
        <v>383</v>
      </c>
      <c r="B394" s="26">
        <v>56189</v>
      </c>
      <c r="C394" s="20">
        <f t="shared" si="48"/>
        <v>0</v>
      </c>
      <c r="D394" s="27">
        <f t="shared" si="49"/>
        <v>0</v>
      </c>
      <c r="E394" s="19">
        <f t="shared" si="50"/>
        <v>0</v>
      </c>
      <c r="F394" s="19">
        <f t="shared" si="51"/>
        <v>0</v>
      </c>
      <c r="G394" s="20">
        <f t="shared" si="52"/>
        <v>0</v>
      </c>
      <c r="H394" s="20">
        <v>0</v>
      </c>
      <c r="I394" s="20">
        <f t="shared" si="53"/>
        <v>0</v>
      </c>
      <c r="J394" s="20">
        <f t="shared" si="40"/>
        <v>0</v>
      </c>
      <c r="K394" s="18"/>
    </row>
    <row r="395" spans="1:11" x14ac:dyDescent="0.25">
      <c r="A395" s="25">
        <v>384</v>
      </c>
      <c r="B395" s="26">
        <v>56219</v>
      </c>
      <c r="C395" s="20">
        <f t="shared" si="48"/>
        <v>0</v>
      </c>
      <c r="D395" s="27">
        <f t="shared" si="49"/>
        <v>0</v>
      </c>
      <c r="E395" s="19">
        <f t="shared" si="50"/>
        <v>0</v>
      </c>
      <c r="F395" s="19">
        <f t="shared" si="51"/>
        <v>0</v>
      </c>
      <c r="G395" s="20">
        <f t="shared" si="52"/>
        <v>0</v>
      </c>
      <c r="H395" s="20">
        <v>0</v>
      </c>
      <c r="I395" s="20">
        <f t="shared" si="53"/>
        <v>0</v>
      </c>
      <c r="J395" s="20">
        <f t="shared" si="40"/>
        <v>0</v>
      </c>
      <c r="K395" s="18"/>
    </row>
    <row r="396" spans="1:11" x14ac:dyDescent="0.25">
      <c r="A396" s="25">
        <v>385</v>
      </c>
      <c r="B396" s="26">
        <v>56250</v>
      </c>
      <c r="C396" s="20">
        <f t="shared" si="48"/>
        <v>0</v>
      </c>
      <c r="D396" s="27">
        <f t="shared" si="49"/>
        <v>0</v>
      </c>
      <c r="E396" s="19">
        <f t="shared" si="50"/>
        <v>0</v>
      </c>
      <c r="F396" s="19">
        <f t="shared" si="51"/>
        <v>0</v>
      </c>
      <c r="G396" s="20">
        <f t="shared" si="52"/>
        <v>0</v>
      </c>
      <c r="H396" s="20">
        <v>0</v>
      </c>
      <c r="I396" s="20">
        <f t="shared" si="53"/>
        <v>0</v>
      </c>
      <c r="J396" s="20">
        <f t="shared" si="40"/>
        <v>0</v>
      </c>
      <c r="K396" s="18"/>
    </row>
    <row r="397" spans="1:11" x14ac:dyDescent="0.25">
      <c r="A397" s="25">
        <v>386</v>
      </c>
      <c r="B397" s="26">
        <v>56281</v>
      </c>
      <c r="C397" s="20">
        <f t="shared" si="48"/>
        <v>0</v>
      </c>
      <c r="D397" s="27">
        <f t="shared" si="49"/>
        <v>0</v>
      </c>
      <c r="E397" s="19">
        <f t="shared" si="50"/>
        <v>0</v>
      </c>
      <c r="F397" s="19">
        <f t="shared" si="51"/>
        <v>0</v>
      </c>
      <c r="G397" s="20">
        <f t="shared" si="52"/>
        <v>0</v>
      </c>
      <c r="H397" s="20">
        <v>0</v>
      </c>
      <c r="I397" s="20">
        <f t="shared" si="53"/>
        <v>0</v>
      </c>
      <c r="J397" s="20">
        <f t="shared" ref="J397:J431" si="54">IF(E397-I397&gt;0,ROUND(E397-I397,2),0)</f>
        <v>0</v>
      </c>
      <c r="K397" s="18"/>
    </row>
    <row r="398" spans="1:11" x14ac:dyDescent="0.25">
      <c r="A398" s="25">
        <v>387</v>
      </c>
      <c r="B398" s="26">
        <v>56309</v>
      </c>
      <c r="C398" s="20">
        <f t="shared" si="48"/>
        <v>0</v>
      </c>
      <c r="D398" s="27">
        <f t="shared" si="49"/>
        <v>0</v>
      </c>
      <c r="E398" s="19">
        <f t="shared" si="50"/>
        <v>0</v>
      </c>
      <c r="F398" s="19">
        <f t="shared" si="51"/>
        <v>0</v>
      </c>
      <c r="G398" s="20">
        <f t="shared" si="52"/>
        <v>0</v>
      </c>
      <c r="H398" s="20">
        <v>0</v>
      </c>
      <c r="I398" s="20">
        <f t="shared" si="53"/>
        <v>0</v>
      </c>
      <c r="J398" s="20">
        <f t="shared" si="54"/>
        <v>0</v>
      </c>
      <c r="K398" s="18"/>
    </row>
    <row r="399" spans="1:11" x14ac:dyDescent="0.25">
      <c r="A399" s="25">
        <v>388</v>
      </c>
      <c r="B399" s="26">
        <v>56340</v>
      </c>
      <c r="C399" s="20">
        <f t="shared" si="48"/>
        <v>0</v>
      </c>
      <c r="D399" s="27">
        <f t="shared" si="49"/>
        <v>0</v>
      </c>
      <c r="E399" s="19">
        <f t="shared" si="50"/>
        <v>0</v>
      </c>
      <c r="F399" s="19">
        <f t="shared" si="51"/>
        <v>0</v>
      </c>
      <c r="G399" s="20">
        <f t="shared" si="52"/>
        <v>0</v>
      </c>
      <c r="H399" s="20">
        <v>0</v>
      </c>
      <c r="I399" s="20">
        <f t="shared" si="53"/>
        <v>0</v>
      </c>
      <c r="J399" s="20">
        <f t="shared" si="54"/>
        <v>0</v>
      </c>
      <c r="K399" s="18"/>
    </row>
    <row r="400" spans="1:11" x14ac:dyDescent="0.25">
      <c r="A400" s="25">
        <v>389</v>
      </c>
      <c r="B400" s="26">
        <v>56370</v>
      </c>
      <c r="C400" s="20">
        <f t="shared" si="48"/>
        <v>0</v>
      </c>
      <c r="D400" s="27">
        <f t="shared" si="49"/>
        <v>0</v>
      </c>
      <c r="E400" s="19">
        <f t="shared" si="50"/>
        <v>0</v>
      </c>
      <c r="F400" s="19">
        <f t="shared" si="51"/>
        <v>0</v>
      </c>
      <c r="G400" s="20">
        <f t="shared" si="52"/>
        <v>0</v>
      </c>
      <c r="H400" s="20">
        <v>0</v>
      </c>
      <c r="I400" s="20">
        <f t="shared" si="53"/>
        <v>0</v>
      </c>
      <c r="J400" s="20">
        <f t="shared" si="54"/>
        <v>0</v>
      </c>
      <c r="K400" s="18"/>
    </row>
    <row r="401" spans="1:11" x14ac:dyDescent="0.25">
      <c r="A401" s="25">
        <v>390</v>
      </c>
      <c r="B401" s="26">
        <v>56401</v>
      </c>
      <c r="C401" s="20">
        <f t="shared" si="48"/>
        <v>0</v>
      </c>
      <c r="D401" s="27">
        <f t="shared" si="49"/>
        <v>0</v>
      </c>
      <c r="E401" s="19">
        <f t="shared" si="50"/>
        <v>0</v>
      </c>
      <c r="F401" s="19">
        <f t="shared" si="51"/>
        <v>0</v>
      </c>
      <c r="G401" s="20">
        <f t="shared" si="52"/>
        <v>0</v>
      </c>
      <c r="H401" s="20">
        <v>0</v>
      </c>
      <c r="I401" s="20">
        <f t="shared" si="53"/>
        <v>0</v>
      </c>
      <c r="J401" s="20">
        <f t="shared" si="54"/>
        <v>0</v>
      </c>
      <c r="K401" s="18"/>
    </row>
    <row r="402" spans="1:11" x14ac:dyDescent="0.25">
      <c r="A402" s="25">
        <v>391</v>
      </c>
      <c r="B402" s="26">
        <v>56431</v>
      </c>
      <c r="C402" s="20">
        <f t="shared" si="48"/>
        <v>0</v>
      </c>
      <c r="D402" s="27">
        <f t="shared" si="49"/>
        <v>0</v>
      </c>
      <c r="E402" s="19">
        <f t="shared" si="50"/>
        <v>0</v>
      </c>
      <c r="F402" s="19">
        <f t="shared" si="51"/>
        <v>0</v>
      </c>
      <c r="G402" s="20">
        <f t="shared" si="52"/>
        <v>0</v>
      </c>
      <c r="H402" s="20">
        <v>0</v>
      </c>
      <c r="I402" s="20">
        <f t="shared" si="53"/>
        <v>0</v>
      </c>
      <c r="J402" s="20">
        <f t="shared" si="54"/>
        <v>0</v>
      </c>
      <c r="K402" s="18"/>
    </row>
    <row r="403" spans="1:11" x14ac:dyDescent="0.25">
      <c r="A403" s="25">
        <v>392</v>
      </c>
      <c r="B403" s="26">
        <v>56462</v>
      </c>
      <c r="C403" s="20">
        <f t="shared" si="48"/>
        <v>0</v>
      </c>
      <c r="D403" s="27">
        <f t="shared" si="49"/>
        <v>0</v>
      </c>
      <c r="E403" s="19">
        <f t="shared" si="50"/>
        <v>0</v>
      </c>
      <c r="F403" s="19">
        <f t="shared" si="51"/>
        <v>0</v>
      </c>
      <c r="G403" s="20">
        <f t="shared" si="52"/>
        <v>0</v>
      </c>
      <c r="H403" s="20">
        <v>0</v>
      </c>
      <c r="I403" s="20">
        <f t="shared" si="53"/>
        <v>0</v>
      </c>
      <c r="J403" s="20">
        <f t="shared" si="54"/>
        <v>0</v>
      </c>
      <c r="K403" s="18"/>
    </row>
    <row r="404" spans="1:11" x14ac:dyDescent="0.25">
      <c r="A404" s="25">
        <v>393</v>
      </c>
      <c r="B404" s="26">
        <v>56493</v>
      </c>
      <c r="C404" s="20">
        <f t="shared" si="48"/>
        <v>0</v>
      </c>
      <c r="D404" s="27">
        <f t="shared" si="49"/>
        <v>0</v>
      </c>
      <c r="E404" s="19">
        <f t="shared" si="50"/>
        <v>0</v>
      </c>
      <c r="F404" s="19">
        <f t="shared" si="51"/>
        <v>0</v>
      </c>
      <c r="G404" s="20">
        <f t="shared" si="52"/>
        <v>0</v>
      </c>
      <c r="H404" s="20">
        <v>0</v>
      </c>
      <c r="I404" s="20">
        <f t="shared" si="53"/>
        <v>0</v>
      </c>
      <c r="J404" s="20">
        <f t="shared" si="54"/>
        <v>0</v>
      </c>
      <c r="K404" s="18"/>
    </row>
    <row r="405" spans="1:11" x14ac:dyDescent="0.25">
      <c r="A405" s="25">
        <v>394</v>
      </c>
      <c r="B405" s="26">
        <v>56523</v>
      </c>
      <c r="C405" s="20">
        <f t="shared" si="48"/>
        <v>0</v>
      </c>
      <c r="D405" s="27">
        <f t="shared" si="49"/>
        <v>0</v>
      </c>
      <c r="E405" s="19">
        <f t="shared" si="50"/>
        <v>0</v>
      </c>
      <c r="F405" s="19">
        <f t="shared" si="51"/>
        <v>0</v>
      </c>
      <c r="G405" s="20">
        <f t="shared" si="52"/>
        <v>0</v>
      </c>
      <c r="H405" s="20">
        <v>0</v>
      </c>
      <c r="I405" s="20">
        <f t="shared" si="53"/>
        <v>0</v>
      </c>
      <c r="J405" s="20">
        <f t="shared" si="54"/>
        <v>0</v>
      </c>
      <c r="K405" s="18"/>
    </row>
    <row r="406" spans="1:11" x14ac:dyDescent="0.25">
      <c r="A406" s="25">
        <v>395</v>
      </c>
      <c r="B406" s="26">
        <v>56554</v>
      </c>
      <c r="C406" s="20">
        <f t="shared" si="48"/>
        <v>0</v>
      </c>
      <c r="D406" s="27">
        <f t="shared" si="49"/>
        <v>0</v>
      </c>
      <c r="E406" s="19">
        <f t="shared" si="50"/>
        <v>0</v>
      </c>
      <c r="F406" s="19">
        <f t="shared" si="51"/>
        <v>0</v>
      </c>
      <c r="G406" s="20">
        <f t="shared" si="52"/>
        <v>0</v>
      </c>
      <c r="H406" s="20">
        <v>0</v>
      </c>
      <c r="I406" s="20">
        <f t="shared" si="53"/>
        <v>0</v>
      </c>
      <c r="J406" s="20">
        <f t="shared" si="54"/>
        <v>0</v>
      </c>
      <c r="K406" s="18"/>
    </row>
    <row r="407" spans="1:11" x14ac:dyDescent="0.25">
      <c r="A407" s="25">
        <v>396</v>
      </c>
      <c r="B407" s="26">
        <v>56584</v>
      </c>
      <c r="C407" s="20">
        <f t="shared" si="48"/>
        <v>0</v>
      </c>
      <c r="D407" s="27">
        <f t="shared" si="49"/>
        <v>0</v>
      </c>
      <c r="E407" s="19">
        <f t="shared" si="50"/>
        <v>0</v>
      </c>
      <c r="F407" s="19">
        <f t="shared" si="51"/>
        <v>0</v>
      </c>
      <c r="G407" s="20">
        <f t="shared" si="52"/>
        <v>0</v>
      </c>
      <c r="H407" s="20">
        <v>0</v>
      </c>
      <c r="I407" s="20">
        <f t="shared" si="53"/>
        <v>0</v>
      </c>
      <c r="J407" s="20">
        <f t="shared" si="54"/>
        <v>0</v>
      </c>
      <c r="K407" s="18"/>
    </row>
    <row r="408" spans="1:11" x14ac:dyDescent="0.25">
      <c r="A408" s="25">
        <v>397</v>
      </c>
      <c r="B408" s="26">
        <v>56615</v>
      </c>
      <c r="C408" s="20">
        <f t="shared" si="48"/>
        <v>0</v>
      </c>
      <c r="D408" s="27">
        <f t="shared" si="49"/>
        <v>0</v>
      </c>
      <c r="E408" s="19">
        <f t="shared" si="50"/>
        <v>0</v>
      </c>
      <c r="F408" s="19">
        <f t="shared" si="51"/>
        <v>0</v>
      </c>
      <c r="G408" s="20">
        <f t="shared" si="52"/>
        <v>0</v>
      </c>
      <c r="H408" s="20">
        <v>0</v>
      </c>
      <c r="I408" s="20">
        <f t="shared" si="53"/>
        <v>0</v>
      </c>
      <c r="J408" s="20">
        <f t="shared" si="54"/>
        <v>0</v>
      </c>
      <c r="K408" s="18"/>
    </row>
    <row r="409" spans="1:11" x14ac:dyDescent="0.25">
      <c r="A409" s="25">
        <v>398</v>
      </c>
      <c r="B409" s="26">
        <v>56646</v>
      </c>
      <c r="C409" s="20">
        <f t="shared" si="48"/>
        <v>0</v>
      </c>
      <c r="D409" s="27">
        <f t="shared" si="49"/>
        <v>0</v>
      </c>
      <c r="E409" s="19">
        <f t="shared" si="50"/>
        <v>0</v>
      </c>
      <c r="F409" s="19">
        <f t="shared" si="51"/>
        <v>0</v>
      </c>
      <c r="G409" s="20">
        <f t="shared" si="52"/>
        <v>0</v>
      </c>
      <c r="H409" s="20">
        <v>0</v>
      </c>
      <c r="I409" s="20">
        <f t="shared" si="53"/>
        <v>0</v>
      </c>
      <c r="J409" s="20">
        <f t="shared" si="54"/>
        <v>0</v>
      </c>
      <c r="K409" s="18"/>
    </row>
    <row r="410" spans="1:11" x14ac:dyDescent="0.25">
      <c r="A410" s="25">
        <v>399</v>
      </c>
      <c r="B410" s="26">
        <v>56674</v>
      </c>
      <c r="C410" s="20">
        <f t="shared" si="48"/>
        <v>0</v>
      </c>
      <c r="D410" s="27">
        <f t="shared" si="49"/>
        <v>0</v>
      </c>
      <c r="E410" s="19">
        <f t="shared" si="50"/>
        <v>0</v>
      </c>
      <c r="F410" s="19">
        <f t="shared" si="51"/>
        <v>0</v>
      </c>
      <c r="G410" s="20">
        <f t="shared" si="52"/>
        <v>0</v>
      </c>
      <c r="H410" s="20">
        <v>0</v>
      </c>
      <c r="I410" s="20">
        <f t="shared" si="53"/>
        <v>0</v>
      </c>
      <c r="J410" s="20">
        <f t="shared" si="54"/>
        <v>0</v>
      </c>
      <c r="K410" s="18"/>
    </row>
    <row r="411" spans="1:11" x14ac:dyDescent="0.25">
      <c r="A411" s="25">
        <v>400</v>
      </c>
      <c r="B411" s="26">
        <v>56705</v>
      </c>
      <c r="C411" s="20">
        <f t="shared" si="48"/>
        <v>0</v>
      </c>
      <c r="D411" s="27">
        <f t="shared" si="49"/>
        <v>0</v>
      </c>
      <c r="E411" s="19">
        <f t="shared" si="50"/>
        <v>0</v>
      </c>
      <c r="F411" s="19">
        <f t="shared" si="51"/>
        <v>0</v>
      </c>
      <c r="G411" s="20">
        <f t="shared" si="52"/>
        <v>0</v>
      </c>
      <c r="H411" s="20">
        <v>0</v>
      </c>
      <c r="I411" s="20">
        <f t="shared" si="53"/>
        <v>0</v>
      </c>
      <c r="J411" s="20">
        <f t="shared" si="54"/>
        <v>0</v>
      </c>
      <c r="K411" s="18"/>
    </row>
    <row r="412" spans="1:11" x14ac:dyDescent="0.25">
      <c r="A412" s="25">
        <v>401</v>
      </c>
      <c r="B412" s="26">
        <v>56735</v>
      </c>
      <c r="C412" s="20">
        <f t="shared" si="48"/>
        <v>0</v>
      </c>
      <c r="D412" s="27">
        <f t="shared" si="49"/>
        <v>0</v>
      </c>
      <c r="E412" s="19">
        <f t="shared" si="50"/>
        <v>0</v>
      </c>
      <c r="F412" s="19">
        <f t="shared" si="51"/>
        <v>0</v>
      </c>
      <c r="G412" s="20">
        <f t="shared" si="52"/>
        <v>0</v>
      </c>
      <c r="H412" s="20">
        <v>0</v>
      </c>
      <c r="I412" s="20">
        <f t="shared" si="53"/>
        <v>0</v>
      </c>
      <c r="J412" s="20">
        <f t="shared" si="54"/>
        <v>0</v>
      </c>
      <c r="K412" s="18"/>
    </row>
    <row r="413" spans="1:11" x14ac:dyDescent="0.25">
      <c r="A413" s="25">
        <v>402</v>
      </c>
      <c r="B413" s="26">
        <v>56766</v>
      </c>
      <c r="C413" s="20">
        <f t="shared" si="48"/>
        <v>0</v>
      </c>
      <c r="D413" s="27">
        <f t="shared" si="49"/>
        <v>0</v>
      </c>
      <c r="E413" s="19">
        <f t="shared" si="50"/>
        <v>0</v>
      </c>
      <c r="F413" s="19">
        <f t="shared" si="51"/>
        <v>0</v>
      </c>
      <c r="G413" s="20">
        <f t="shared" si="52"/>
        <v>0</v>
      </c>
      <c r="H413" s="20">
        <v>0</v>
      </c>
      <c r="I413" s="20">
        <f t="shared" si="53"/>
        <v>0</v>
      </c>
      <c r="J413" s="20">
        <f t="shared" si="54"/>
        <v>0</v>
      </c>
      <c r="K413" s="18"/>
    </row>
    <row r="414" spans="1:11" x14ac:dyDescent="0.25">
      <c r="A414" s="25">
        <v>403</v>
      </c>
      <c r="B414" s="26">
        <v>56796</v>
      </c>
      <c r="C414" s="20">
        <f t="shared" si="48"/>
        <v>0</v>
      </c>
      <c r="D414" s="27">
        <f t="shared" si="49"/>
        <v>0</v>
      </c>
      <c r="E414" s="19">
        <f t="shared" si="50"/>
        <v>0</v>
      </c>
      <c r="F414" s="19">
        <f t="shared" si="51"/>
        <v>0</v>
      </c>
      <c r="G414" s="20">
        <f t="shared" si="52"/>
        <v>0</v>
      </c>
      <c r="H414" s="20">
        <v>0</v>
      </c>
      <c r="I414" s="20">
        <f t="shared" si="53"/>
        <v>0</v>
      </c>
      <c r="J414" s="20">
        <f t="shared" si="54"/>
        <v>0</v>
      </c>
      <c r="K414" s="18"/>
    </row>
    <row r="415" spans="1:11" x14ac:dyDescent="0.25">
      <c r="A415" s="25">
        <v>404</v>
      </c>
      <c r="B415" s="26">
        <v>56827</v>
      </c>
      <c r="C415" s="20">
        <f t="shared" si="48"/>
        <v>0</v>
      </c>
      <c r="D415" s="27">
        <f t="shared" si="49"/>
        <v>0</v>
      </c>
      <c r="E415" s="19">
        <f t="shared" si="50"/>
        <v>0</v>
      </c>
      <c r="F415" s="19">
        <f t="shared" si="51"/>
        <v>0</v>
      </c>
      <c r="G415" s="20">
        <f t="shared" si="52"/>
        <v>0</v>
      </c>
      <c r="H415" s="20">
        <v>0</v>
      </c>
      <c r="I415" s="20">
        <f t="shared" si="53"/>
        <v>0</v>
      </c>
      <c r="J415" s="20">
        <f t="shared" si="54"/>
        <v>0</v>
      </c>
      <c r="K415" s="18"/>
    </row>
    <row r="416" spans="1:11" x14ac:dyDescent="0.25">
      <c r="A416" s="25">
        <v>405</v>
      </c>
      <c r="B416" s="26">
        <v>56858</v>
      </c>
      <c r="C416" s="20">
        <f t="shared" si="48"/>
        <v>0</v>
      </c>
      <c r="D416" s="27">
        <f t="shared" si="49"/>
        <v>0</v>
      </c>
      <c r="E416" s="19">
        <f t="shared" si="50"/>
        <v>0</v>
      </c>
      <c r="F416" s="19">
        <f t="shared" si="51"/>
        <v>0</v>
      </c>
      <c r="G416" s="20">
        <f t="shared" si="52"/>
        <v>0</v>
      </c>
      <c r="H416" s="20">
        <v>0</v>
      </c>
      <c r="I416" s="20">
        <f t="shared" si="53"/>
        <v>0</v>
      </c>
      <c r="J416" s="20">
        <f t="shared" si="54"/>
        <v>0</v>
      </c>
      <c r="K416" s="18"/>
    </row>
    <row r="417" spans="1:11" x14ac:dyDescent="0.25">
      <c r="A417" s="25">
        <v>406</v>
      </c>
      <c r="B417" s="26">
        <v>56888</v>
      </c>
      <c r="C417" s="20">
        <f t="shared" si="48"/>
        <v>0</v>
      </c>
      <c r="D417" s="27">
        <f t="shared" si="49"/>
        <v>0</v>
      </c>
      <c r="E417" s="19">
        <f t="shared" si="50"/>
        <v>0</v>
      </c>
      <c r="F417" s="19">
        <f t="shared" si="51"/>
        <v>0</v>
      </c>
      <c r="G417" s="20">
        <f t="shared" si="52"/>
        <v>0</v>
      </c>
      <c r="H417" s="20">
        <v>0</v>
      </c>
      <c r="I417" s="20">
        <f t="shared" si="53"/>
        <v>0</v>
      </c>
      <c r="J417" s="20">
        <f t="shared" si="54"/>
        <v>0</v>
      </c>
      <c r="K417" s="18"/>
    </row>
    <row r="418" spans="1:11" x14ac:dyDescent="0.25">
      <c r="A418" s="25">
        <v>407</v>
      </c>
      <c r="B418" s="26">
        <v>56919</v>
      </c>
      <c r="C418" s="20">
        <f t="shared" si="48"/>
        <v>0</v>
      </c>
      <c r="D418" s="27">
        <f t="shared" si="49"/>
        <v>0</v>
      </c>
      <c r="E418" s="19">
        <f t="shared" si="50"/>
        <v>0</v>
      </c>
      <c r="F418" s="19">
        <f t="shared" si="51"/>
        <v>0</v>
      </c>
      <c r="G418" s="20">
        <f t="shared" si="52"/>
        <v>0</v>
      </c>
      <c r="H418" s="20">
        <v>0</v>
      </c>
      <c r="I418" s="20">
        <f t="shared" si="53"/>
        <v>0</v>
      </c>
      <c r="J418" s="20">
        <f t="shared" si="54"/>
        <v>0</v>
      </c>
      <c r="K418" s="18"/>
    </row>
    <row r="419" spans="1:11" x14ac:dyDescent="0.25">
      <c r="A419" s="25">
        <v>408</v>
      </c>
      <c r="B419" s="26">
        <v>56949</v>
      </c>
      <c r="C419" s="20">
        <f t="shared" si="48"/>
        <v>0</v>
      </c>
      <c r="D419" s="27">
        <f t="shared" si="49"/>
        <v>0</v>
      </c>
      <c r="E419" s="19">
        <f t="shared" si="50"/>
        <v>0</v>
      </c>
      <c r="F419" s="19">
        <f t="shared" si="51"/>
        <v>0</v>
      </c>
      <c r="G419" s="20">
        <f t="shared" si="52"/>
        <v>0</v>
      </c>
      <c r="H419" s="20">
        <v>0</v>
      </c>
      <c r="I419" s="20">
        <f t="shared" si="53"/>
        <v>0</v>
      </c>
      <c r="J419" s="20">
        <f t="shared" si="54"/>
        <v>0</v>
      </c>
      <c r="K419" s="18"/>
    </row>
    <row r="420" spans="1:11" x14ac:dyDescent="0.25">
      <c r="A420" s="25">
        <v>409</v>
      </c>
      <c r="B420" s="26">
        <v>56980</v>
      </c>
      <c r="C420" s="20">
        <f t="shared" ref="C420:C431" si="55">IF(J419&gt;0,J419,0)</f>
        <v>0</v>
      </c>
      <c r="D420" s="27">
        <f t="shared" ref="D420:D431" si="56">C420*$C$6</f>
        <v>0</v>
      </c>
      <c r="E420" s="19">
        <f t="shared" ref="E420:E431" si="57">C420+D420</f>
        <v>0</v>
      </c>
      <c r="F420" s="19">
        <f t="shared" ref="F420:F431" si="58">IF(C420&gt;0,$C$4/$C$8,0)</f>
        <v>0</v>
      </c>
      <c r="G420" s="20">
        <f t="shared" ref="G420:G431" si="59">IF(C420&gt;0,F420+D420,0)</f>
        <v>0</v>
      </c>
      <c r="H420" s="20">
        <v>0</v>
      </c>
      <c r="I420" s="20">
        <f t="shared" ref="I420:I431" si="60">IF(C420&gt;0,H420+G420,0)</f>
        <v>0</v>
      </c>
      <c r="J420" s="20">
        <f t="shared" si="54"/>
        <v>0</v>
      </c>
      <c r="K420" s="18"/>
    </row>
    <row r="421" spans="1:11" x14ac:dyDescent="0.25">
      <c r="A421" s="25">
        <v>410</v>
      </c>
      <c r="B421" s="26">
        <v>57011</v>
      </c>
      <c r="C421" s="20">
        <f t="shared" si="55"/>
        <v>0</v>
      </c>
      <c r="D421" s="27">
        <f t="shared" si="56"/>
        <v>0</v>
      </c>
      <c r="E421" s="19">
        <f t="shared" si="57"/>
        <v>0</v>
      </c>
      <c r="F421" s="19">
        <f t="shared" si="58"/>
        <v>0</v>
      </c>
      <c r="G421" s="20">
        <f t="shared" si="59"/>
        <v>0</v>
      </c>
      <c r="H421" s="20">
        <v>0</v>
      </c>
      <c r="I421" s="20">
        <f t="shared" si="60"/>
        <v>0</v>
      </c>
      <c r="J421" s="20">
        <f t="shared" si="54"/>
        <v>0</v>
      </c>
      <c r="K421" s="18"/>
    </row>
    <row r="422" spans="1:11" x14ac:dyDescent="0.25">
      <c r="A422" s="25">
        <v>411</v>
      </c>
      <c r="B422" s="26">
        <v>57040</v>
      </c>
      <c r="C422" s="20">
        <f t="shared" si="55"/>
        <v>0</v>
      </c>
      <c r="D422" s="27">
        <f t="shared" si="56"/>
        <v>0</v>
      </c>
      <c r="E422" s="19">
        <f t="shared" si="57"/>
        <v>0</v>
      </c>
      <c r="F422" s="19">
        <f t="shared" si="58"/>
        <v>0</v>
      </c>
      <c r="G422" s="20">
        <f t="shared" si="59"/>
        <v>0</v>
      </c>
      <c r="H422" s="20">
        <v>0</v>
      </c>
      <c r="I422" s="20">
        <f t="shared" si="60"/>
        <v>0</v>
      </c>
      <c r="J422" s="20">
        <f t="shared" si="54"/>
        <v>0</v>
      </c>
      <c r="K422" s="18"/>
    </row>
    <row r="423" spans="1:11" x14ac:dyDescent="0.25">
      <c r="A423" s="25">
        <v>412</v>
      </c>
      <c r="B423" s="26">
        <v>57071</v>
      </c>
      <c r="C423" s="20">
        <f t="shared" si="55"/>
        <v>0</v>
      </c>
      <c r="D423" s="27">
        <f t="shared" si="56"/>
        <v>0</v>
      </c>
      <c r="E423" s="19">
        <f t="shared" si="57"/>
        <v>0</v>
      </c>
      <c r="F423" s="19">
        <f t="shared" si="58"/>
        <v>0</v>
      </c>
      <c r="G423" s="20">
        <f t="shared" si="59"/>
        <v>0</v>
      </c>
      <c r="H423" s="20">
        <v>0</v>
      </c>
      <c r="I423" s="20">
        <f t="shared" si="60"/>
        <v>0</v>
      </c>
      <c r="J423" s="20">
        <f t="shared" si="54"/>
        <v>0</v>
      </c>
      <c r="K423" s="18"/>
    </row>
    <row r="424" spans="1:11" x14ac:dyDescent="0.25">
      <c r="A424" s="25">
        <v>413</v>
      </c>
      <c r="B424" s="26">
        <v>57101</v>
      </c>
      <c r="C424" s="20">
        <f t="shared" si="55"/>
        <v>0</v>
      </c>
      <c r="D424" s="27">
        <f t="shared" si="56"/>
        <v>0</v>
      </c>
      <c r="E424" s="19">
        <f t="shared" si="57"/>
        <v>0</v>
      </c>
      <c r="F424" s="19">
        <f t="shared" si="58"/>
        <v>0</v>
      </c>
      <c r="G424" s="20">
        <f t="shared" si="59"/>
        <v>0</v>
      </c>
      <c r="H424" s="20">
        <v>0</v>
      </c>
      <c r="I424" s="20">
        <f t="shared" si="60"/>
        <v>0</v>
      </c>
      <c r="J424" s="20">
        <f t="shared" si="54"/>
        <v>0</v>
      </c>
      <c r="K424" s="18"/>
    </row>
    <row r="425" spans="1:11" x14ac:dyDescent="0.25">
      <c r="A425" s="25">
        <v>414</v>
      </c>
      <c r="B425" s="26">
        <v>57132</v>
      </c>
      <c r="C425" s="20">
        <f t="shared" si="55"/>
        <v>0</v>
      </c>
      <c r="D425" s="27">
        <f t="shared" si="56"/>
        <v>0</v>
      </c>
      <c r="E425" s="19">
        <f t="shared" si="57"/>
        <v>0</v>
      </c>
      <c r="F425" s="19">
        <f t="shared" si="58"/>
        <v>0</v>
      </c>
      <c r="G425" s="20">
        <f t="shared" si="59"/>
        <v>0</v>
      </c>
      <c r="H425" s="20">
        <v>0</v>
      </c>
      <c r="I425" s="20">
        <f t="shared" si="60"/>
        <v>0</v>
      </c>
      <c r="J425" s="20">
        <f t="shared" si="54"/>
        <v>0</v>
      </c>
      <c r="K425" s="18"/>
    </row>
    <row r="426" spans="1:11" x14ac:dyDescent="0.25">
      <c r="A426" s="25">
        <v>415</v>
      </c>
      <c r="B426" s="26">
        <v>57162</v>
      </c>
      <c r="C426" s="20">
        <f t="shared" si="55"/>
        <v>0</v>
      </c>
      <c r="D426" s="27">
        <f t="shared" si="56"/>
        <v>0</v>
      </c>
      <c r="E426" s="19">
        <f t="shared" si="57"/>
        <v>0</v>
      </c>
      <c r="F426" s="19">
        <f t="shared" si="58"/>
        <v>0</v>
      </c>
      <c r="G426" s="20">
        <f t="shared" si="59"/>
        <v>0</v>
      </c>
      <c r="H426" s="20">
        <v>0</v>
      </c>
      <c r="I426" s="20">
        <f t="shared" si="60"/>
        <v>0</v>
      </c>
      <c r="J426" s="20">
        <f t="shared" si="54"/>
        <v>0</v>
      </c>
      <c r="K426" s="18"/>
    </row>
    <row r="427" spans="1:11" x14ac:dyDescent="0.25">
      <c r="A427" s="25">
        <v>416</v>
      </c>
      <c r="B427" s="26">
        <v>57193</v>
      </c>
      <c r="C427" s="20">
        <f t="shared" si="55"/>
        <v>0</v>
      </c>
      <c r="D427" s="27">
        <f t="shared" si="56"/>
        <v>0</v>
      </c>
      <c r="E427" s="19">
        <f t="shared" si="57"/>
        <v>0</v>
      </c>
      <c r="F427" s="19">
        <f t="shared" si="58"/>
        <v>0</v>
      </c>
      <c r="G427" s="20">
        <f t="shared" si="59"/>
        <v>0</v>
      </c>
      <c r="H427" s="20">
        <v>0</v>
      </c>
      <c r="I427" s="20">
        <f t="shared" si="60"/>
        <v>0</v>
      </c>
      <c r="J427" s="20">
        <f t="shared" si="54"/>
        <v>0</v>
      </c>
      <c r="K427" s="18"/>
    </row>
    <row r="428" spans="1:11" x14ac:dyDescent="0.25">
      <c r="A428" s="25">
        <v>417</v>
      </c>
      <c r="B428" s="26">
        <v>57224</v>
      </c>
      <c r="C428" s="20">
        <f t="shared" si="55"/>
        <v>0</v>
      </c>
      <c r="D428" s="27">
        <f t="shared" si="56"/>
        <v>0</v>
      </c>
      <c r="E428" s="19">
        <f t="shared" si="57"/>
        <v>0</v>
      </c>
      <c r="F428" s="19">
        <f t="shared" si="58"/>
        <v>0</v>
      </c>
      <c r="G428" s="20">
        <f t="shared" si="59"/>
        <v>0</v>
      </c>
      <c r="H428" s="20">
        <v>0</v>
      </c>
      <c r="I428" s="20">
        <f t="shared" si="60"/>
        <v>0</v>
      </c>
      <c r="J428" s="20">
        <f t="shared" si="54"/>
        <v>0</v>
      </c>
      <c r="K428" s="18"/>
    </row>
    <row r="429" spans="1:11" x14ac:dyDescent="0.25">
      <c r="A429" s="25">
        <v>418</v>
      </c>
      <c r="B429" s="26">
        <v>57254</v>
      </c>
      <c r="C429" s="20">
        <f t="shared" si="55"/>
        <v>0</v>
      </c>
      <c r="D429" s="27">
        <f t="shared" si="56"/>
        <v>0</v>
      </c>
      <c r="E429" s="19">
        <f t="shared" si="57"/>
        <v>0</v>
      </c>
      <c r="F429" s="19">
        <f t="shared" si="58"/>
        <v>0</v>
      </c>
      <c r="G429" s="20">
        <f t="shared" si="59"/>
        <v>0</v>
      </c>
      <c r="H429" s="20">
        <v>0</v>
      </c>
      <c r="I429" s="20">
        <f t="shared" si="60"/>
        <v>0</v>
      </c>
      <c r="J429" s="20">
        <f t="shared" si="54"/>
        <v>0</v>
      </c>
      <c r="K429" s="18"/>
    </row>
    <row r="430" spans="1:11" x14ac:dyDescent="0.25">
      <c r="A430" s="25">
        <v>419</v>
      </c>
      <c r="B430" s="26">
        <v>57285</v>
      </c>
      <c r="C430" s="20">
        <f t="shared" si="55"/>
        <v>0</v>
      </c>
      <c r="D430" s="27">
        <f t="shared" si="56"/>
        <v>0</v>
      </c>
      <c r="E430" s="19">
        <f t="shared" si="57"/>
        <v>0</v>
      </c>
      <c r="F430" s="19">
        <f t="shared" si="58"/>
        <v>0</v>
      </c>
      <c r="G430" s="20">
        <f t="shared" si="59"/>
        <v>0</v>
      </c>
      <c r="H430" s="20">
        <v>0</v>
      </c>
      <c r="I430" s="20">
        <f t="shared" si="60"/>
        <v>0</v>
      </c>
      <c r="J430" s="20">
        <f t="shared" si="54"/>
        <v>0</v>
      </c>
      <c r="K430" s="18"/>
    </row>
    <row r="431" spans="1:11" x14ac:dyDescent="0.25">
      <c r="A431" s="25">
        <v>420</v>
      </c>
      <c r="B431" s="26">
        <v>57315</v>
      </c>
      <c r="C431" s="20">
        <f t="shared" si="55"/>
        <v>0</v>
      </c>
      <c r="D431" s="27">
        <f t="shared" si="56"/>
        <v>0</v>
      </c>
      <c r="E431" s="19">
        <f t="shared" si="57"/>
        <v>0</v>
      </c>
      <c r="F431" s="19">
        <f t="shared" si="58"/>
        <v>0</v>
      </c>
      <c r="G431" s="20">
        <f t="shared" si="59"/>
        <v>0</v>
      </c>
      <c r="H431" s="20">
        <v>0</v>
      </c>
      <c r="I431" s="20">
        <f t="shared" si="60"/>
        <v>0</v>
      </c>
      <c r="J431" s="20">
        <f t="shared" si="54"/>
        <v>0</v>
      </c>
      <c r="K431" s="18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7BA19-3D50-43C6-9183-CAAC9CE01B65}">
  <dimension ref="A1:K431"/>
  <sheetViews>
    <sheetView topLeftCell="A4" workbookViewId="0">
      <selection activeCell="C9" sqref="C9"/>
    </sheetView>
  </sheetViews>
  <sheetFormatPr defaultRowHeight="15" x14ac:dyDescent="0.25"/>
  <cols>
    <col min="1" max="1" width="5.7109375" bestFit="1" customWidth="1"/>
    <col min="2" max="2" width="15.5703125" bestFit="1" customWidth="1"/>
    <col min="3" max="3" width="15.85546875" bestFit="1" customWidth="1"/>
    <col min="4" max="5" width="14.28515625" bestFit="1" customWidth="1"/>
    <col min="6" max="6" width="20.85546875" bestFit="1" customWidth="1"/>
    <col min="7" max="7" width="14.42578125" bestFit="1" customWidth="1"/>
    <col min="8" max="9" width="13.28515625" bestFit="1" customWidth="1"/>
    <col min="10" max="10" width="15.85546875" bestFit="1" customWidth="1"/>
    <col min="11" max="11" width="14.28515625" bestFit="1" customWidth="1"/>
  </cols>
  <sheetData>
    <row r="1" spans="1:11" x14ac:dyDescent="0.25">
      <c r="B1" s="1" t="s">
        <v>0</v>
      </c>
      <c r="C1" s="1" t="s">
        <v>1</v>
      </c>
      <c r="F1" s="1" t="s">
        <v>8</v>
      </c>
      <c r="G1" s="1" t="s">
        <v>1</v>
      </c>
    </row>
    <row r="2" spans="1:11" x14ac:dyDescent="0.25">
      <c r="B2" s="2" t="s">
        <v>2</v>
      </c>
      <c r="C2" s="3">
        <v>10000</v>
      </c>
      <c r="F2" s="2" t="s">
        <v>9</v>
      </c>
      <c r="G2" s="5">
        <f>C4</f>
        <v>10000</v>
      </c>
    </row>
    <row r="3" spans="1:11" x14ac:dyDescent="0.25">
      <c r="B3" s="2" t="s">
        <v>3</v>
      </c>
      <c r="C3" s="3">
        <v>0</v>
      </c>
      <c r="F3" s="2" t="s">
        <v>10</v>
      </c>
      <c r="G3" s="5">
        <f>SUM(I12:I371)</f>
        <v>12315.373168575368</v>
      </c>
      <c r="H3" s="11"/>
      <c r="I3" s="4"/>
    </row>
    <row r="4" spans="1:11" x14ac:dyDescent="0.25">
      <c r="B4" s="2" t="s">
        <v>4</v>
      </c>
      <c r="C4" s="3">
        <f>C2-C3</f>
        <v>10000</v>
      </c>
      <c r="F4" s="2" t="s">
        <v>11</v>
      </c>
      <c r="G4" s="7">
        <f>G3-G2</f>
        <v>2315.3731685753683</v>
      </c>
    </row>
    <row r="5" spans="1:11" x14ac:dyDescent="0.25">
      <c r="B5" s="2" t="s">
        <v>25</v>
      </c>
      <c r="C5" s="6">
        <v>9.5000000000000001E-2</v>
      </c>
      <c r="D5" s="15">
        <f>((1+D6)^12)-1</f>
        <v>0.92294568909758112</v>
      </c>
      <c r="F5" s="2" t="s">
        <v>12</v>
      </c>
      <c r="G5" s="5">
        <f>MAX($I$12:$I$431)</f>
        <v>242.58200957249235</v>
      </c>
      <c r="H5" s="4">
        <f>G5/2</f>
        <v>121.29100478624618</v>
      </c>
    </row>
    <row r="6" spans="1:11" x14ac:dyDescent="0.25">
      <c r="B6" s="2" t="s">
        <v>5</v>
      </c>
      <c r="C6" s="6">
        <f>(1+C5)^(1/12)-1</f>
        <v>7.5915342905825689E-3</v>
      </c>
      <c r="D6" s="14">
        <v>5.6000000000000001E-2</v>
      </c>
      <c r="E6" t="s">
        <v>30</v>
      </c>
      <c r="F6" s="2" t="s">
        <v>13</v>
      </c>
      <c r="G6" s="5" cm="1">
        <f t="array" ref="G6">MIN(IF($I$12:$I$431&gt;0,$I$12:$I$431))</f>
        <v>167.93042938001994</v>
      </c>
    </row>
    <row r="7" spans="1:11" x14ac:dyDescent="0.25">
      <c r="B7" s="2" t="s">
        <v>24</v>
      </c>
      <c r="C7" s="2">
        <v>5</v>
      </c>
      <c r="F7" s="2" t="s">
        <v>14</v>
      </c>
      <c r="G7" s="6">
        <f>G4/G3</f>
        <v>0.18800674059016018</v>
      </c>
    </row>
    <row r="8" spans="1:11" x14ac:dyDescent="0.25">
      <c r="B8" s="2" t="s">
        <v>6</v>
      </c>
      <c r="C8" s="2">
        <f>C7*12</f>
        <v>60</v>
      </c>
      <c r="F8" s="2" t="s">
        <v>28</v>
      </c>
      <c r="G8" s="6">
        <f>G7/(30*12)</f>
        <v>5.2224094608377826E-4</v>
      </c>
    </row>
    <row r="9" spans="1:11" x14ac:dyDescent="0.25">
      <c r="B9" s="2" t="s">
        <v>7</v>
      </c>
      <c r="C9" s="5">
        <f>SUM(H12:H431)</f>
        <v>0</v>
      </c>
    </row>
    <row r="11" spans="1:11" x14ac:dyDescent="0.25">
      <c r="A11" s="1" t="s">
        <v>15</v>
      </c>
      <c r="B11" s="1" t="s">
        <v>16</v>
      </c>
      <c r="C11" s="1" t="s">
        <v>26</v>
      </c>
      <c r="D11" s="1" t="s">
        <v>17</v>
      </c>
      <c r="E11" s="1" t="s">
        <v>18</v>
      </c>
      <c r="F11" s="1" t="s">
        <v>19</v>
      </c>
      <c r="G11" s="1" t="s">
        <v>20</v>
      </c>
      <c r="H11" s="1" t="s">
        <v>21</v>
      </c>
      <c r="I11" s="1" t="s">
        <v>22</v>
      </c>
      <c r="J11" s="1" t="s">
        <v>29</v>
      </c>
      <c r="K11" s="1" t="s">
        <v>27</v>
      </c>
    </row>
    <row r="12" spans="1:11" x14ac:dyDescent="0.25">
      <c r="A12" s="8">
        <v>1</v>
      </c>
      <c r="B12" s="9">
        <v>44562</v>
      </c>
      <c r="C12" s="5">
        <f>C4</f>
        <v>10000</v>
      </c>
      <c r="D12" s="12">
        <f>C12*$C$6</f>
        <v>75.915342905825696</v>
      </c>
      <c r="E12" s="3">
        <f>C12+D12</f>
        <v>10075.915342905826</v>
      </c>
      <c r="F12" s="3">
        <f>IF(C12&gt;0,$C$4/$C$8,0)</f>
        <v>166.66666666666666</v>
      </c>
      <c r="G12" s="5">
        <f>IF(C12&gt;0,F12+D12,0)</f>
        <v>242.58200957249235</v>
      </c>
      <c r="H12" s="5">
        <v>0</v>
      </c>
      <c r="I12" s="5">
        <f>IF(C12&gt;0,H12+G12,"")</f>
        <v>242.58200957249235</v>
      </c>
      <c r="J12" s="5">
        <f>IF(E12-I12&gt;0,ROUND(E12-I12,2),0)</f>
        <v>9833.33</v>
      </c>
      <c r="K12" s="2"/>
    </row>
    <row r="13" spans="1:11" x14ac:dyDescent="0.25">
      <c r="A13" s="8">
        <v>2</v>
      </c>
      <c r="B13" s="9">
        <v>44593</v>
      </c>
      <c r="C13" s="5">
        <f>IF(J12&gt;0,J12,0)</f>
        <v>9833.33</v>
      </c>
      <c r="D13" s="12">
        <f t="shared" ref="D13:D76" si="0">C13*$C$6</f>
        <v>74.650061885614292</v>
      </c>
      <c r="E13" s="3">
        <f t="shared" ref="E13:E76" si="1">C13+D13</f>
        <v>9907.9800618856134</v>
      </c>
      <c r="F13" s="3">
        <f t="shared" ref="F13:F76" si="2">IF(C13&gt;0,$C$4/$C$8,0)</f>
        <v>166.66666666666666</v>
      </c>
      <c r="G13" s="5">
        <f t="shared" ref="G13:G76" si="3">IF(C13&gt;0,F13+D13,0)</f>
        <v>241.31672855228095</v>
      </c>
      <c r="H13" s="5">
        <v>0</v>
      </c>
      <c r="I13" s="5">
        <f t="shared" ref="I13:I76" si="4">IF(C13&gt;0,H13+G13,0)</f>
        <v>241.31672855228095</v>
      </c>
      <c r="J13" s="5">
        <f t="shared" ref="J13:J76" si="5">IF(E13-I13&gt;0,ROUND(E13-I13,2),0)</f>
        <v>9666.66</v>
      </c>
      <c r="K13" s="2"/>
    </row>
    <row r="14" spans="1:11" x14ac:dyDescent="0.25">
      <c r="A14" s="8">
        <v>3</v>
      </c>
      <c r="B14" s="9">
        <v>44621</v>
      </c>
      <c r="C14" s="5">
        <f t="shared" ref="C14:C77" si="6">IF(J13&gt;0,J13,0)</f>
        <v>9666.66</v>
      </c>
      <c r="D14" s="12">
        <f t="shared" si="0"/>
        <v>73.384780865402888</v>
      </c>
      <c r="E14" s="3">
        <f t="shared" si="1"/>
        <v>9740.0447808654026</v>
      </c>
      <c r="F14" s="3">
        <f t="shared" si="2"/>
        <v>166.66666666666666</v>
      </c>
      <c r="G14" s="5">
        <f t="shared" si="3"/>
        <v>240.05144753206955</v>
      </c>
      <c r="H14" s="5">
        <v>0</v>
      </c>
      <c r="I14" s="5">
        <f t="shared" si="4"/>
        <v>240.05144753206955</v>
      </c>
      <c r="J14" s="5">
        <f t="shared" si="5"/>
        <v>9499.99</v>
      </c>
      <c r="K14" s="2"/>
    </row>
    <row r="15" spans="1:11" x14ac:dyDescent="0.25">
      <c r="A15" s="8">
        <v>4</v>
      </c>
      <c r="B15" s="9">
        <v>44652</v>
      </c>
      <c r="C15" s="5">
        <f t="shared" si="6"/>
        <v>9499.99</v>
      </c>
      <c r="D15" s="12">
        <f t="shared" si="0"/>
        <v>72.119499845191498</v>
      </c>
      <c r="E15" s="3">
        <f t="shared" si="1"/>
        <v>9572.1094998451917</v>
      </c>
      <c r="F15" s="3">
        <f t="shared" si="2"/>
        <v>166.66666666666666</v>
      </c>
      <c r="G15" s="5">
        <f t="shared" si="3"/>
        <v>238.78616651185814</v>
      </c>
      <c r="H15" s="5">
        <v>0</v>
      </c>
      <c r="I15" s="5">
        <f t="shared" si="4"/>
        <v>238.78616651185814</v>
      </c>
      <c r="J15" s="5">
        <f t="shared" si="5"/>
        <v>9333.32</v>
      </c>
      <c r="K15" s="2"/>
    </row>
    <row r="16" spans="1:11" x14ac:dyDescent="0.25">
      <c r="A16" s="8">
        <v>5</v>
      </c>
      <c r="B16" s="9">
        <v>44682</v>
      </c>
      <c r="C16" s="5">
        <f t="shared" si="6"/>
        <v>9333.32</v>
      </c>
      <c r="D16" s="12">
        <f t="shared" si="0"/>
        <v>70.854218824980094</v>
      </c>
      <c r="E16" s="3">
        <f t="shared" si="1"/>
        <v>9404.1742188249791</v>
      </c>
      <c r="F16" s="3">
        <f t="shared" si="2"/>
        <v>166.66666666666666</v>
      </c>
      <c r="G16" s="5">
        <f t="shared" si="3"/>
        <v>237.52088549164677</v>
      </c>
      <c r="H16" s="5">
        <v>0</v>
      </c>
      <c r="I16" s="5">
        <f t="shared" si="4"/>
        <v>237.52088549164677</v>
      </c>
      <c r="J16" s="5">
        <f t="shared" si="5"/>
        <v>9166.65</v>
      </c>
      <c r="K16" s="2"/>
    </row>
    <row r="17" spans="1:11" x14ac:dyDescent="0.25">
      <c r="A17" s="8">
        <v>6</v>
      </c>
      <c r="B17" s="9">
        <v>44713</v>
      </c>
      <c r="C17" s="5">
        <f t="shared" si="6"/>
        <v>9166.65</v>
      </c>
      <c r="D17" s="12">
        <f t="shared" si="0"/>
        <v>69.588937804768705</v>
      </c>
      <c r="E17" s="3">
        <f t="shared" si="1"/>
        <v>9236.2389378047683</v>
      </c>
      <c r="F17" s="3">
        <f t="shared" si="2"/>
        <v>166.66666666666666</v>
      </c>
      <c r="G17" s="5">
        <f t="shared" si="3"/>
        <v>236.25560447143536</v>
      </c>
      <c r="H17" s="5">
        <v>0</v>
      </c>
      <c r="I17" s="5">
        <f t="shared" si="4"/>
        <v>236.25560447143536</v>
      </c>
      <c r="J17" s="5">
        <f t="shared" si="5"/>
        <v>8999.98</v>
      </c>
      <c r="K17" s="2"/>
    </row>
    <row r="18" spans="1:11" x14ac:dyDescent="0.25">
      <c r="A18" s="8">
        <v>7</v>
      </c>
      <c r="B18" s="9">
        <v>44743</v>
      </c>
      <c r="C18" s="5">
        <f t="shared" si="6"/>
        <v>8999.98</v>
      </c>
      <c r="D18" s="12">
        <f t="shared" si="0"/>
        <v>68.323656784557301</v>
      </c>
      <c r="E18" s="3">
        <f t="shared" si="1"/>
        <v>9068.3036567845575</v>
      </c>
      <c r="F18" s="3">
        <f t="shared" si="2"/>
        <v>166.66666666666666</v>
      </c>
      <c r="G18" s="5">
        <f t="shared" si="3"/>
        <v>234.99032345122396</v>
      </c>
      <c r="H18" s="5">
        <v>0</v>
      </c>
      <c r="I18" s="5">
        <f t="shared" si="4"/>
        <v>234.99032345122396</v>
      </c>
      <c r="J18" s="5">
        <f t="shared" si="5"/>
        <v>8833.31</v>
      </c>
      <c r="K18" s="2"/>
    </row>
    <row r="19" spans="1:11" x14ac:dyDescent="0.25">
      <c r="A19" s="8">
        <v>8</v>
      </c>
      <c r="B19" s="9">
        <v>44774</v>
      </c>
      <c r="C19" s="5">
        <f t="shared" si="6"/>
        <v>8833.31</v>
      </c>
      <c r="D19" s="12">
        <f t="shared" si="0"/>
        <v>67.058375764345911</v>
      </c>
      <c r="E19" s="3">
        <f t="shared" si="1"/>
        <v>8900.3683757643448</v>
      </c>
      <c r="F19" s="3">
        <f t="shared" si="2"/>
        <v>166.66666666666666</v>
      </c>
      <c r="G19" s="5">
        <f t="shared" si="3"/>
        <v>233.72504243101258</v>
      </c>
      <c r="H19" s="5">
        <v>0</v>
      </c>
      <c r="I19" s="5">
        <f t="shared" si="4"/>
        <v>233.72504243101258</v>
      </c>
      <c r="J19" s="5">
        <f t="shared" si="5"/>
        <v>8666.64</v>
      </c>
      <c r="K19" s="2"/>
    </row>
    <row r="20" spans="1:11" x14ac:dyDescent="0.25">
      <c r="A20" s="8">
        <v>9</v>
      </c>
      <c r="B20" s="9">
        <v>44805</v>
      </c>
      <c r="C20" s="5">
        <f t="shared" si="6"/>
        <v>8666.64</v>
      </c>
      <c r="D20" s="12">
        <f t="shared" si="0"/>
        <v>65.793094744134507</v>
      </c>
      <c r="E20" s="3">
        <f t="shared" si="1"/>
        <v>8732.433094744134</v>
      </c>
      <c r="F20" s="3">
        <f t="shared" si="2"/>
        <v>166.66666666666666</v>
      </c>
      <c r="G20" s="5">
        <f t="shared" si="3"/>
        <v>232.45976141080115</v>
      </c>
      <c r="H20" s="5">
        <v>0</v>
      </c>
      <c r="I20" s="5">
        <f t="shared" si="4"/>
        <v>232.45976141080115</v>
      </c>
      <c r="J20" s="5">
        <f t="shared" si="5"/>
        <v>8499.9699999999993</v>
      </c>
      <c r="K20" s="2"/>
    </row>
    <row r="21" spans="1:11" x14ac:dyDescent="0.25">
      <c r="A21" s="8">
        <v>10</v>
      </c>
      <c r="B21" s="9">
        <v>44835</v>
      </c>
      <c r="C21" s="5">
        <f t="shared" si="6"/>
        <v>8499.9699999999993</v>
      </c>
      <c r="D21" s="12">
        <f t="shared" si="0"/>
        <v>64.527813723923117</v>
      </c>
      <c r="E21" s="3">
        <f t="shared" si="1"/>
        <v>8564.4978137239232</v>
      </c>
      <c r="F21" s="3">
        <f t="shared" si="2"/>
        <v>166.66666666666666</v>
      </c>
      <c r="G21" s="5">
        <f t="shared" si="3"/>
        <v>231.19448039058977</v>
      </c>
      <c r="H21" s="5">
        <v>0</v>
      </c>
      <c r="I21" s="5">
        <f t="shared" si="4"/>
        <v>231.19448039058977</v>
      </c>
      <c r="J21" s="5">
        <f t="shared" si="5"/>
        <v>8333.2999999999993</v>
      </c>
      <c r="K21" s="2"/>
    </row>
    <row r="22" spans="1:11" x14ac:dyDescent="0.25">
      <c r="A22" s="8">
        <v>11</v>
      </c>
      <c r="B22" s="9">
        <v>44866</v>
      </c>
      <c r="C22" s="5">
        <f t="shared" si="6"/>
        <v>8333.2999999999993</v>
      </c>
      <c r="D22" s="12">
        <f t="shared" si="0"/>
        <v>63.262532703711713</v>
      </c>
      <c r="E22" s="3">
        <f t="shared" si="1"/>
        <v>8396.5625327037105</v>
      </c>
      <c r="F22" s="3">
        <f t="shared" si="2"/>
        <v>166.66666666666666</v>
      </c>
      <c r="G22" s="5">
        <f t="shared" si="3"/>
        <v>229.92919937037837</v>
      </c>
      <c r="H22" s="5">
        <v>0</v>
      </c>
      <c r="I22" s="5">
        <f t="shared" si="4"/>
        <v>229.92919937037837</v>
      </c>
      <c r="J22" s="5">
        <f t="shared" si="5"/>
        <v>8166.63</v>
      </c>
      <c r="K22" s="2"/>
    </row>
    <row r="23" spans="1:11" x14ac:dyDescent="0.25">
      <c r="A23" s="8">
        <v>12</v>
      </c>
      <c r="B23" s="9">
        <v>44896</v>
      </c>
      <c r="C23" s="5">
        <f t="shared" si="6"/>
        <v>8166.63</v>
      </c>
      <c r="D23" s="12">
        <f t="shared" si="0"/>
        <v>61.997251683500323</v>
      </c>
      <c r="E23" s="3">
        <f t="shared" si="1"/>
        <v>8228.6272516834997</v>
      </c>
      <c r="F23" s="3">
        <f t="shared" si="2"/>
        <v>166.66666666666666</v>
      </c>
      <c r="G23" s="5">
        <f t="shared" si="3"/>
        <v>228.66391835016697</v>
      </c>
      <c r="H23" s="5">
        <v>0</v>
      </c>
      <c r="I23" s="5">
        <f t="shared" si="4"/>
        <v>228.66391835016697</v>
      </c>
      <c r="J23" s="5">
        <f t="shared" si="5"/>
        <v>7999.96</v>
      </c>
      <c r="K23" s="2"/>
    </row>
    <row r="24" spans="1:11" x14ac:dyDescent="0.25">
      <c r="A24" s="8">
        <v>13</v>
      </c>
      <c r="B24" s="9">
        <v>44927</v>
      </c>
      <c r="C24" s="5">
        <f t="shared" si="6"/>
        <v>7999.96</v>
      </c>
      <c r="D24" s="12">
        <f t="shared" si="0"/>
        <v>60.731970663288926</v>
      </c>
      <c r="E24" s="3">
        <f t="shared" si="1"/>
        <v>8060.6919706632889</v>
      </c>
      <c r="F24" s="3">
        <f t="shared" si="2"/>
        <v>166.66666666666666</v>
      </c>
      <c r="G24" s="5">
        <f t="shared" si="3"/>
        <v>227.39863732995559</v>
      </c>
      <c r="H24" s="5">
        <v>0</v>
      </c>
      <c r="I24" s="5">
        <f t="shared" si="4"/>
        <v>227.39863732995559</v>
      </c>
      <c r="J24" s="5">
        <f t="shared" si="5"/>
        <v>7833.29</v>
      </c>
      <c r="K24" s="2"/>
    </row>
    <row r="25" spans="1:11" x14ac:dyDescent="0.25">
      <c r="A25" s="8">
        <v>14</v>
      </c>
      <c r="B25" s="9">
        <v>44958</v>
      </c>
      <c r="C25" s="5">
        <f t="shared" si="6"/>
        <v>7833.29</v>
      </c>
      <c r="D25" s="12">
        <f t="shared" si="0"/>
        <v>59.46668964307753</v>
      </c>
      <c r="E25" s="3">
        <f t="shared" si="1"/>
        <v>7892.7566896430772</v>
      </c>
      <c r="F25" s="3">
        <f t="shared" si="2"/>
        <v>166.66666666666666</v>
      </c>
      <c r="G25" s="5">
        <f t="shared" si="3"/>
        <v>226.13335630974419</v>
      </c>
      <c r="H25" s="5">
        <v>0</v>
      </c>
      <c r="I25" s="5">
        <f t="shared" si="4"/>
        <v>226.13335630974419</v>
      </c>
      <c r="J25" s="5">
        <f t="shared" si="5"/>
        <v>7666.62</v>
      </c>
      <c r="K25" s="2"/>
    </row>
    <row r="26" spans="1:11" x14ac:dyDescent="0.25">
      <c r="A26" s="8">
        <v>15</v>
      </c>
      <c r="B26" s="9">
        <v>44986</v>
      </c>
      <c r="C26" s="5">
        <f t="shared" si="6"/>
        <v>7666.62</v>
      </c>
      <c r="D26" s="12">
        <f t="shared" si="0"/>
        <v>58.201408622866133</v>
      </c>
      <c r="E26" s="3">
        <f t="shared" si="1"/>
        <v>7724.8214086228663</v>
      </c>
      <c r="F26" s="3">
        <f t="shared" si="2"/>
        <v>166.66666666666666</v>
      </c>
      <c r="G26" s="5">
        <f t="shared" si="3"/>
        <v>224.86807528953278</v>
      </c>
      <c r="H26" s="5">
        <v>0</v>
      </c>
      <c r="I26" s="5">
        <f t="shared" si="4"/>
        <v>224.86807528953278</v>
      </c>
      <c r="J26" s="5">
        <f t="shared" si="5"/>
        <v>7499.95</v>
      </c>
      <c r="K26" s="2"/>
    </row>
    <row r="27" spans="1:11" x14ac:dyDescent="0.25">
      <c r="A27" s="8">
        <v>16</v>
      </c>
      <c r="B27" s="9">
        <v>45017</v>
      </c>
      <c r="C27" s="5">
        <f t="shared" si="6"/>
        <v>7499.95</v>
      </c>
      <c r="D27" s="12">
        <f t="shared" si="0"/>
        <v>56.936127602654736</v>
      </c>
      <c r="E27" s="3">
        <f t="shared" si="1"/>
        <v>7556.8861276026546</v>
      </c>
      <c r="F27" s="3">
        <f t="shared" si="2"/>
        <v>166.66666666666666</v>
      </c>
      <c r="G27" s="5">
        <f t="shared" si="3"/>
        <v>223.60279426932141</v>
      </c>
      <c r="H27" s="5">
        <v>0</v>
      </c>
      <c r="I27" s="5">
        <f t="shared" si="4"/>
        <v>223.60279426932141</v>
      </c>
      <c r="J27" s="5">
        <f t="shared" si="5"/>
        <v>7333.28</v>
      </c>
      <c r="K27" s="2"/>
    </row>
    <row r="28" spans="1:11" x14ac:dyDescent="0.25">
      <c r="A28" s="8">
        <v>17</v>
      </c>
      <c r="B28" s="9">
        <v>45047</v>
      </c>
      <c r="C28" s="5">
        <f t="shared" si="6"/>
        <v>7333.28</v>
      </c>
      <c r="D28" s="12">
        <f t="shared" si="0"/>
        <v>55.670846582443339</v>
      </c>
      <c r="E28" s="3">
        <f t="shared" si="1"/>
        <v>7388.9508465824429</v>
      </c>
      <c r="F28" s="3">
        <f t="shared" si="2"/>
        <v>166.66666666666666</v>
      </c>
      <c r="G28" s="5">
        <f t="shared" si="3"/>
        <v>222.33751324911</v>
      </c>
      <c r="H28" s="5">
        <v>0</v>
      </c>
      <c r="I28" s="5">
        <f t="shared" si="4"/>
        <v>222.33751324911</v>
      </c>
      <c r="J28" s="5">
        <f t="shared" si="5"/>
        <v>7166.61</v>
      </c>
      <c r="K28" s="2"/>
    </row>
    <row r="29" spans="1:11" x14ac:dyDescent="0.25">
      <c r="A29" s="8">
        <v>18</v>
      </c>
      <c r="B29" s="9">
        <v>45078</v>
      </c>
      <c r="C29" s="5">
        <f t="shared" si="6"/>
        <v>7166.61</v>
      </c>
      <c r="D29" s="12">
        <f t="shared" si="0"/>
        <v>54.405565562231942</v>
      </c>
      <c r="E29" s="3">
        <f t="shared" si="1"/>
        <v>7221.015565562232</v>
      </c>
      <c r="F29" s="3">
        <f t="shared" si="2"/>
        <v>166.66666666666666</v>
      </c>
      <c r="G29" s="5">
        <f t="shared" si="3"/>
        <v>221.0722322288986</v>
      </c>
      <c r="H29" s="5">
        <v>0</v>
      </c>
      <c r="I29" s="5">
        <f t="shared" si="4"/>
        <v>221.0722322288986</v>
      </c>
      <c r="J29" s="5">
        <f t="shared" si="5"/>
        <v>6999.94</v>
      </c>
      <c r="K29" s="2"/>
    </row>
    <row r="30" spans="1:11" x14ac:dyDescent="0.25">
      <c r="A30" s="8">
        <v>19</v>
      </c>
      <c r="B30" s="9">
        <v>45108</v>
      </c>
      <c r="C30" s="5">
        <f t="shared" si="6"/>
        <v>6999.94</v>
      </c>
      <c r="D30" s="12">
        <f t="shared" si="0"/>
        <v>53.140284542020545</v>
      </c>
      <c r="E30" s="3">
        <f t="shared" si="1"/>
        <v>7053.0802845420203</v>
      </c>
      <c r="F30" s="3">
        <f t="shared" si="2"/>
        <v>166.66666666666666</v>
      </c>
      <c r="G30" s="5">
        <f t="shared" si="3"/>
        <v>219.8069512086872</v>
      </c>
      <c r="H30" s="5">
        <v>0</v>
      </c>
      <c r="I30" s="5">
        <f t="shared" si="4"/>
        <v>219.8069512086872</v>
      </c>
      <c r="J30" s="5">
        <f t="shared" si="5"/>
        <v>6833.27</v>
      </c>
      <c r="K30" s="2"/>
    </row>
    <row r="31" spans="1:11" x14ac:dyDescent="0.25">
      <c r="A31" s="8">
        <v>20</v>
      </c>
      <c r="B31" s="9">
        <v>45139</v>
      </c>
      <c r="C31" s="5">
        <f t="shared" si="6"/>
        <v>6833.27</v>
      </c>
      <c r="D31" s="12">
        <f t="shared" si="0"/>
        <v>51.875003521809155</v>
      </c>
      <c r="E31" s="3">
        <f t="shared" si="1"/>
        <v>6885.1450035218095</v>
      </c>
      <c r="F31" s="3">
        <f t="shared" si="2"/>
        <v>166.66666666666666</v>
      </c>
      <c r="G31" s="5">
        <f t="shared" si="3"/>
        <v>218.54167018847582</v>
      </c>
      <c r="H31" s="5">
        <v>0</v>
      </c>
      <c r="I31" s="5">
        <f t="shared" si="4"/>
        <v>218.54167018847582</v>
      </c>
      <c r="J31" s="5">
        <f t="shared" si="5"/>
        <v>6666.6</v>
      </c>
      <c r="K31" s="2"/>
    </row>
    <row r="32" spans="1:11" x14ac:dyDescent="0.25">
      <c r="A32" s="8">
        <v>21</v>
      </c>
      <c r="B32" s="9">
        <v>45170</v>
      </c>
      <c r="C32" s="5">
        <f t="shared" si="6"/>
        <v>6666.6</v>
      </c>
      <c r="D32" s="12">
        <f t="shared" si="0"/>
        <v>50.609722501597759</v>
      </c>
      <c r="E32" s="3">
        <f t="shared" si="1"/>
        <v>6717.2097225015978</v>
      </c>
      <c r="F32" s="3">
        <f t="shared" si="2"/>
        <v>166.66666666666666</v>
      </c>
      <c r="G32" s="5">
        <f t="shared" si="3"/>
        <v>217.27638916826442</v>
      </c>
      <c r="H32" s="5">
        <v>0</v>
      </c>
      <c r="I32" s="5">
        <f t="shared" si="4"/>
        <v>217.27638916826442</v>
      </c>
      <c r="J32" s="5">
        <f t="shared" si="5"/>
        <v>6499.93</v>
      </c>
      <c r="K32" s="2"/>
    </row>
    <row r="33" spans="1:11" x14ac:dyDescent="0.25">
      <c r="A33" s="8">
        <v>22</v>
      </c>
      <c r="B33" s="9">
        <v>45200</v>
      </c>
      <c r="C33" s="5">
        <f t="shared" si="6"/>
        <v>6499.93</v>
      </c>
      <c r="D33" s="12">
        <f t="shared" si="0"/>
        <v>49.344441481386362</v>
      </c>
      <c r="E33" s="3">
        <f t="shared" si="1"/>
        <v>6549.2744414813869</v>
      </c>
      <c r="F33" s="3">
        <f t="shared" si="2"/>
        <v>166.66666666666666</v>
      </c>
      <c r="G33" s="5">
        <f t="shared" si="3"/>
        <v>216.01110814805301</v>
      </c>
      <c r="H33" s="5">
        <v>0</v>
      </c>
      <c r="I33" s="5">
        <f t="shared" si="4"/>
        <v>216.01110814805301</v>
      </c>
      <c r="J33" s="5">
        <f t="shared" si="5"/>
        <v>6333.26</v>
      </c>
      <c r="K33" s="2"/>
    </row>
    <row r="34" spans="1:11" x14ac:dyDescent="0.25">
      <c r="A34" s="8">
        <v>23</v>
      </c>
      <c r="B34" s="9">
        <v>45231</v>
      </c>
      <c r="C34" s="5">
        <f t="shared" si="6"/>
        <v>6333.26</v>
      </c>
      <c r="D34" s="12">
        <f t="shared" si="0"/>
        <v>48.079160461174965</v>
      </c>
      <c r="E34" s="3">
        <f t="shared" si="1"/>
        <v>6381.3391604611752</v>
      </c>
      <c r="F34" s="3">
        <f t="shared" si="2"/>
        <v>166.66666666666666</v>
      </c>
      <c r="G34" s="5">
        <f t="shared" si="3"/>
        <v>214.74582712784161</v>
      </c>
      <c r="H34" s="5">
        <v>0</v>
      </c>
      <c r="I34" s="5">
        <f t="shared" si="4"/>
        <v>214.74582712784161</v>
      </c>
      <c r="J34" s="5">
        <f t="shared" si="5"/>
        <v>6166.59</v>
      </c>
      <c r="K34" s="2"/>
    </row>
    <row r="35" spans="1:11" x14ac:dyDescent="0.25">
      <c r="A35" s="8">
        <v>24</v>
      </c>
      <c r="B35" s="9">
        <v>45261</v>
      </c>
      <c r="C35" s="5">
        <f t="shared" si="6"/>
        <v>6166.59</v>
      </c>
      <c r="D35" s="12">
        <f t="shared" si="0"/>
        <v>46.813879440963568</v>
      </c>
      <c r="E35" s="3">
        <f t="shared" si="1"/>
        <v>6213.4038794409635</v>
      </c>
      <c r="F35" s="3">
        <f t="shared" si="2"/>
        <v>166.66666666666666</v>
      </c>
      <c r="G35" s="5">
        <f t="shared" si="3"/>
        <v>213.48054610763023</v>
      </c>
      <c r="H35" s="5">
        <v>0</v>
      </c>
      <c r="I35" s="5">
        <f t="shared" si="4"/>
        <v>213.48054610763023</v>
      </c>
      <c r="J35" s="5">
        <f t="shared" si="5"/>
        <v>5999.92</v>
      </c>
      <c r="K35" s="2"/>
    </row>
    <row r="36" spans="1:11" x14ac:dyDescent="0.25">
      <c r="A36" s="8">
        <v>25</v>
      </c>
      <c r="B36" s="9">
        <v>45292</v>
      </c>
      <c r="C36" s="5">
        <f t="shared" si="6"/>
        <v>5999.92</v>
      </c>
      <c r="D36" s="12">
        <f t="shared" si="0"/>
        <v>45.548598420752164</v>
      </c>
      <c r="E36" s="3">
        <f t="shared" si="1"/>
        <v>6045.4685984207526</v>
      </c>
      <c r="F36" s="3">
        <f t="shared" si="2"/>
        <v>166.66666666666666</v>
      </c>
      <c r="G36" s="5">
        <f t="shared" si="3"/>
        <v>212.21526508741883</v>
      </c>
      <c r="H36" s="5">
        <v>0</v>
      </c>
      <c r="I36" s="5">
        <f t="shared" si="4"/>
        <v>212.21526508741883</v>
      </c>
      <c r="J36" s="5">
        <f t="shared" si="5"/>
        <v>5833.25</v>
      </c>
      <c r="K36" s="2"/>
    </row>
    <row r="37" spans="1:11" x14ac:dyDescent="0.25">
      <c r="A37" s="8">
        <v>26</v>
      </c>
      <c r="B37" s="9">
        <v>45323</v>
      </c>
      <c r="C37" s="5">
        <f t="shared" si="6"/>
        <v>5833.25</v>
      </c>
      <c r="D37" s="12">
        <f t="shared" si="0"/>
        <v>44.283317400540767</v>
      </c>
      <c r="E37" s="3">
        <f t="shared" si="1"/>
        <v>5877.5333174005409</v>
      </c>
      <c r="F37" s="3">
        <f t="shared" si="2"/>
        <v>166.66666666666666</v>
      </c>
      <c r="G37" s="5">
        <f t="shared" si="3"/>
        <v>210.94998406720742</v>
      </c>
      <c r="H37" s="5">
        <v>0</v>
      </c>
      <c r="I37" s="5">
        <f t="shared" si="4"/>
        <v>210.94998406720742</v>
      </c>
      <c r="J37" s="5">
        <f t="shared" si="5"/>
        <v>5666.58</v>
      </c>
      <c r="K37" s="2"/>
    </row>
    <row r="38" spans="1:11" x14ac:dyDescent="0.25">
      <c r="A38" s="8">
        <v>27</v>
      </c>
      <c r="B38" s="9">
        <v>45352</v>
      </c>
      <c r="C38" s="5">
        <f t="shared" si="6"/>
        <v>5666.58</v>
      </c>
      <c r="D38" s="12">
        <f t="shared" si="0"/>
        <v>43.01803638032937</v>
      </c>
      <c r="E38" s="3">
        <f t="shared" si="1"/>
        <v>5709.5980363803292</v>
      </c>
      <c r="F38" s="3">
        <f t="shared" si="2"/>
        <v>166.66666666666666</v>
      </c>
      <c r="G38" s="5">
        <f t="shared" si="3"/>
        <v>209.68470304699602</v>
      </c>
      <c r="H38" s="5">
        <v>0</v>
      </c>
      <c r="I38" s="5">
        <f t="shared" si="4"/>
        <v>209.68470304699602</v>
      </c>
      <c r="J38" s="5">
        <f t="shared" si="5"/>
        <v>5499.91</v>
      </c>
      <c r="K38" s="2"/>
    </row>
    <row r="39" spans="1:11" x14ac:dyDescent="0.25">
      <c r="A39" s="8">
        <v>28</v>
      </c>
      <c r="B39" s="9">
        <v>45383</v>
      </c>
      <c r="C39" s="5">
        <f t="shared" si="6"/>
        <v>5499.91</v>
      </c>
      <c r="D39" s="12">
        <f t="shared" si="0"/>
        <v>41.752755360117973</v>
      </c>
      <c r="E39" s="3">
        <f t="shared" si="1"/>
        <v>5541.6627553601174</v>
      </c>
      <c r="F39" s="3">
        <f t="shared" si="2"/>
        <v>166.66666666666666</v>
      </c>
      <c r="G39" s="5">
        <f t="shared" si="3"/>
        <v>208.41942202678462</v>
      </c>
      <c r="H39" s="5">
        <v>0</v>
      </c>
      <c r="I39" s="5">
        <f t="shared" si="4"/>
        <v>208.41942202678462</v>
      </c>
      <c r="J39" s="5">
        <f t="shared" si="5"/>
        <v>5333.24</v>
      </c>
      <c r="K39" s="2"/>
    </row>
    <row r="40" spans="1:11" x14ac:dyDescent="0.25">
      <c r="A40" s="8">
        <v>29</v>
      </c>
      <c r="B40" s="9">
        <v>45413</v>
      </c>
      <c r="C40" s="5">
        <f t="shared" si="6"/>
        <v>5333.24</v>
      </c>
      <c r="D40" s="12">
        <f t="shared" si="0"/>
        <v>40.487474339906576</v>
      </c>
      <c r="E40" s="3">
        <f t="shared" si="1"/>
        <v>5373.7274743399066</v>
      </c>
      <c r="F40" s="3">
        <f t="shared" si="2"/>
        <v>166.66666666666666</v>
      </c>
      <c r="G40" s="5">
        <f t="shared" si="3"/>
        <v>207.15414100657324</v>
      </c>
      <c r="H40" s="5">
        <v>0</v>
      </c>
      <c r="I40" s="5">
        <f t="shared" si="4"/>
        <v>207.15414100657324</v>
      </c>
      <c r="J40" s="5">
        <f t="shared" si="5"/>
        <v>5166.57</v>
      </c>
      <c r="K40" s="2"/>
    </row>
    <row r="41" spans="1:11" x14ac:dyDescent="0.25">
      <c r="A41" s="8">
        <v>30</v>
      </c>
      <c r="B41" s="9">
        <v>45444</v>
      </c>
      <c r="C41" s="5">
        <f t="shared" si="6"/>
        <v>5166.57</v>
      </c>
      <c r="D41" s="12">
        <f t="shared" si="0"/>
        <v>39.22219331969518</v>
      </c>
      <c r="E41" s="3">
        <f t="shared" si="1"/>
        <v>5205.7921933196949</v>
      </c>
      <c r="F41" s="3">
        <f t="shared" si="2"/>
        <v>166.66666666666666</v>
      </c>
      <c r="G41" s="5">
        <f t="shared" si="3"/>
        <v>205.88885998636184</v>
      </c>
      <c r="H41" s="5">
        <v>0</v>
      </c>
      <c r="I41" s="5">
        <f t="shared" si="4"/>
        <v>205.88885998636184</v>
      </c>
      <c r="J41" s="5">
        <f t="shared" si="5"/>
        <v>4999.8999999999996</v>
      </c>
      <c r="K41" s="2"/>
    </row>
    <row r="42" spans="1:11" x14ac:dyDescent="0.25">
      <c r="A42" s="8">
        <v>31</v>
      </c>
      <c r="B42" s="9">
        <v>45474</v>
      </c>
      <c r="C42" s="5">
        <f t="shared" si="6"/>
        <v>4999.8999999999996</v>
      </c>
      <c r="D42" s="12">
        <f t="shared" si="0"/>
        <v>37.956912299483783</v>
      </c>
      <c r="E42" s="3">
        <f t="shared" si="1"/>
        <v>5037.8569122994832</v>
      </c>
      <c r="F42" s="3">
        <f t="shared" si="2"/>
        <v>166.66666666666666</v>
      </c>
      <c r="G42" s="5">
        <f t="shared" si="3"/>
        <v>204.62357896615043</v>
      </c>
      <c r="H42" s="5">
        <v>0</v>
      </c>
      <c r="I42" s="5">
        <f t="shared" si="4"/>
        <v>204.62357896615043</v>
      </c>
      <c r="J42" s="5">
        <f t="shared" si="5"/>
        <v>4833.2299999999996</v>
      </c>
      <c r="K42" s="2"/>
    </row>
    <row r="43" spans="1:11" x14ac:dyDescent="0.25">
      <c r="A43" s="8">
        <v>32</v>
      </c>
      <c r="B43" s="9">
        <v>45505</v>
      </c>
      <c r="C43" s="5">
        <f t="shared" si="6"/>
        <v>4833.2299999999996</v>
      </c>
      <c r="D43" s="12">
        <f t="shared" si="0"/>
        <v>36.691631279272386</v>
      </c>
      <c r="E43" s="3">
        <f t="shared" si="1"/>
        <v>4869.9216312792723</v>
      </c>
      <c r="F43" s="3">
        <f t="shared" si="2"/>
        <v>166.66666666666666</v>
      </c>
      <c r="G43" s="5">
        <f t="shared" si="3"/>
        <v>203.35829794593906</v>
      </c>
      <c r="H43" s="5">
        <v>0</v>
      </c>
      <c r="I43" s="5">
        <f t="shared" si="4"/>
        <v>203.35829794593906</v>
      </c>
      <c r="J43" s="5">
        <f t="shared" si="5"/>
        <v>4666.5600000000004</v>
      </c>
      <c r="K43" s="2"/>
    </row>
    <row r="44" spans="1:11" x14ac:dyDescent="0.25">
      <c r="A44" s="8">
        <v>33</v>
      </c>
      <c r="B44" s="9">
        <v>45536</v>
      </c>
      <c r="C44" s="5">
        <f t="shared" si="6"/>
        <v>4666.5600000000004</v>
      </c>
      <c r="D44" s="12">
        <f t="shared" si="0"/>
        <v>35.426350259060996</v>
      </c>
      <c r="E44" s="3">
        <f t="shared" si="1"/>
        <v>4701.9863502590615</v>
      </c>
      <c r="F44" s="3">
        <f t="shared" si="2"/>
        <v>166.66666666666666</v>
      </c>
      <c r="G44" s="5">
        <f t="shared" si="3"/>
        <v>202.09301692572765</v>
      </c>
      <c r="H44" s="5">
        <v>0</v>
      </c>
      <c r="I44" s="5">
        <f t="shared" si="4"/>
        <v>202.09301692572765</v>
      </c>
      <c r="J44" s="5">
        <f t="shared" si="5"/>
        <v>4499.8900000000003</v>
      </c>
      <c r="K44" s="2"/>
    </row>
    <row r="45" spans="1:11" x14ac:dyDescent="0.25">
      <c r="A45" s="8">
        <v>34</v>
      </c>
      <c r="B45" s="9">
        <v>45566</v>
      </c>
      <c r="C45" s="5">
        <f t="shared" si="6"/>
        <v>4499.8900000000003</v>
      </c>
      <c r="D45" s="12">
        <f t="shared" si="0"/>
        <v>34.161069238849599</v>
      </c>
      <c r="E45" s="3">
        <f t="shared" si="1"/>
        <v>4534.0510692388498</v>
      </c>
      <c r="F45" s="3">
        <f t="shared" si="2"/>
        <v>166.66666666666666</v>
      </c>
      <c r="G45" s="5">
        <f t="shared" si="3"/>
        <v>200.82773590551625</v>
      </c>
      <c r="H45" s="5">
        <v>0</v>
      </c>
      <c r="I45" s="5">
        <f t="shared" si="4"/>
        <v>200.82773590551625</v>
      </c>
      <c r="J45" s="5">
        <f t="shared" si="5"/>
        <v>4333.22</v>
      </c>
      <c r="K45" s="2"/>
    </row>
    <row r="46" spans="1:11" x14ac:dyDescent="0.25">
      <c r="A46" s="8">
        <v>35</v>
      </c>
      <c r="B46" s="9">
        <v>45597</v>
      </c>
      <c r="C46" s="5">
        <f t="shared" si="6"/>
        <v>4333.22</v>
      </c>
      <c r="D46" s="12">
        <f t="shared" si="0"/>
        <v>32.895788218638202</v>
      </c>
      <c r="E46" s="3">
        <f t="shared" si="1"/>
        <v>4366.115788218638</v>
      </c>
      <c r="F46" s="3">
        <f t="shared" si="2"/>
        <v>166.66666666666666</v>
      </c>
      <c r="G46" s="5">
        <f t="shared" si="3"/>
        <v>199.56245488530487</v>
      </c>
      <c r="H46" s="5">
        <v>0</v>
      </c>
      <c r="I46" s="5">
        <f t="shared" si="4"/>
        <v>199.56245488530487</v>
      </c>
      <c r="J46" s="5">
        <f t="shared" si="5"/>
        <v>4166.55</v>
      </c>
      <c r="K46" s="2"/>
    </row>
    <row r="47" spans="1:11" x14ac:dyDescent="0.25">
      <c r="A47" s="8">
        <v>36</v>
      </c>
      <c r="B47" s="9">
        <v>45627</v>
      </c>
      <c r="C47" s="5">
        <f t="shared" si="6"/>
        <v>4166.55</v>
      </c>
      <c r="D47" s="12">
        <f t="shared" si="0"/>
        <v>31.630507198426805</v>
      </c>
      <c r="E47" s="3">
        <f t="shared" si="1"/>
        <v>4198.1805071984272</v>
      </c>
      <c r="F47" s="3">
        <f t="shared" si="2"/>
        <v>166.66666666666666</v>
      </c>
      <c r="G47" s="5">
        <f t="shared" si="3"/>
        <v>198.29717386509347</v>
      </c>
      <c r="H47" s="5">
        <v>0</v>
      </c>
      <c r="I47" s="5">
        <f t="shared" si="4"/>
        <v>198.29717386509347</v>
      </c>
      <c r="J47" s="5">
        <f t="shared" si="5"/>
        <v>3999.88</v>
      </c>
      <c r="K47" s="2"/>
    </row>
    <row r="48" spans="1:11" x14ac:dyDescent="0.25">
      <c r="A48" s="8">
        <v>37</v>
      </c>
      <c r="B48" s="9">
        <v>45658</v>
      </c>
      <c r="C48" s="5">
        <f t="shared" si="6"/>
        <v>3999.88</v>
      </c>
      <c r="D48" s="12">
        <f t="shared" si="0"/>
        <v>30.365226178215405</v>
      </c>
      <c r="E48" s="3">
        <f t="shared" si="1"/>
        <v>4030.2452261782155</v>
      </c>
      <c r="F48" s="3">
        <f t="shared" si="2"/>
        <v>166.66666666666666</v>
      </c>
      <c r="G48" s="5">
        <f t="shared" si="3"/>
        <v>197.03189284488207</v>
      </c>
      <c r="H48" s="5">
        <v>0</v>
      </c>
      <c r="I48" s="5">
        <f t="shared" si="4"/>
        <v>197.03189284488207</v>
      </c>
      <c r="J48" s="5">
        <f t="shared" si="5"/>
        <v>3833.21</v>
      </c>
      <c r="K48" s="2"/>
    </row>
    <row r="49" spans="1:11" x14ac:dyDescent="0.25">
      <c r="A49" s="8">
        <v>38</v>
      </c>
      <c r="B49" s="9">
        <v>45689</v>
      </c>
      <c r="C49" s="5">
        <f t="shared" si="6"/>
        <v>3833.21</v>
      </c>
      <c r="D49" s="12">
        <f t="shared" si="0"/>
        <v>29.099945158004008</v>
      </c>
      <c r="E49" s="3">
        <f t="shared" si="1"/>
        <v>3862.3099451580042</v>
      </c>
      <c r="F49" s="3">
        <f t="shared" si="2"/>
        <v>166.66666666666666</v>
      </c>
      <c r="G49" s="5">
        <f t="shared" si="3"/>
        <v>195.76661182467066</v>
      </c>
      <c r="H49" s="5">
        <v>0</v>
      </c>
      <c r="I49" s="5">
        <f t="shared" si="4"/>
        <v>195.76661182467066</v>
      </c>
      <c r="J49" s="5">
        <f t="shared" si="5"/>
        <v>3666.54</v>
      </c>
      <c r="K49" s="2"/>
    </row>
    <row r="50" spans="1:11" x14ac:dyDescent="0.25">
      <c r="A50" s="8">
        <v>39</v>
      </c>
      <c r="B50" s="9">
        <v>45717</v>
      </c>
      <c r="C50" s="5">
        <f t="shared" si="6"/>
        <v>3666.54</v>
      </c>
      <c r="D50" s="12">
        <f t="shared" si="0"/>
        <v>27.834664137792611</v>
      </c>
      <c r="E50" s="3">
        <f t="shared" si="1"/>
        <v>3694.3746641377925</v>
      </c>
      <c r="F50" s="3">
        <f t="shared" si="2"/>
        <v>166.66666666666666</v>
      </c>
      <c r="G50" s="5">
        <f t="shared" si="3"/>
        <v>194.50133080445926</v>
      </c>
      <c r="H50" s="5">
        <v>0</v>
      </c>
      <c r="I50" s="5">
        <f t="shared" si="4"/>
        <v>194.50133080445926</v>
      </c>
      <c r="J50" s="5">
        <f t="shared" si="5"/>
        <v>3499.87</v>
      </c>
      <c r="K50" s="2"/>
    </row>
    <row r="51" spans="1:11" x14ac:dyDescent="0.25">
      <c r="A51" s="8">
        <v>40</v>
      </c>
      <c r="B51" s="9">
        <v>45748</v>
      </c>
      <c r="C51" s="5">
        <f t="shared" si="6"/>
        <v>3499.87</v>
      </c>
      <c r="D51" s="12">
        <f t="shared" si="0"/>
        <v>26.569383117581214</v>
      </c>
      <c r="E51" s="3">
        <f t="shared" si="1"/>
        <v>3526.4393831175812</v>
      </c>
      <c r="F51" s="3">
        <f t="shared" si="2"/>
        <v>166.66666666666666</v>
      </c>
      <c r="G51" s="5">
        <f t="shared" si="3"/>
        <v>193.23604978424788</v>
      </c>
      <c r="H51" s="5">
        <v>0</v>
      </c>
      <c r="I51" s="5">
        <f t="shared" si="4"/>
        <v>193.23604978424788</v>
      </c>
      <c r="J51" s="5">
        <f t="shared" si="5"/>
        <v>3333.2</v>
      </c>
      <c r="K51" s="2"/>
    </row>
    <row r="52" spans="1:11" x14ac:dyDescent="0.25">
      <c r="A52" s="8">
        <v>41</v>
      </c>
      <c r="B52" s="9">
        <v>45778</v>
      </c>
      <c r="C52" s="5">
        <f t="shared" si="6"/>
        <v>3333.2</v>
      </c>
      <c r="D52" s="12">
        <f t="shared" si="0"/>
        <v>25.304102097369817</v>
      </c>
      <c r="E52" s="3">
        <f t="shared" si="1"/>
        <v>3358.5041020973695</v>
      </c>
      <c r="F52" s="3">
        <f t="shared" si="2"/>
        <v>166.66666666666666</v>
      </c>
      <c r="G52" s="5">
        <f t="shared" si="3"/>
        <v>191.97076876403648</v>
      </c>
      <c r="H52" s="5">
        <v>0</v>
      </c>
      <c r="I52" s="5">
        <f t="shared" si="4"/>
        <v>191.97076876403648</v>
      </c>
      <c r="J52" s="5">
        <f t="shared" si="5"/>
        <v>3166.53</v>
      </c>
      <c r="K52" s="2"/>
    </row>
    <row r="53" spans="1:11" x14ac:dyDescent="0.25">
      <c r="A53" s="8">
        <v>42</v>
      </c>
      <c r="B53" s="9">
        <v>45809</v>
      </c>
      <c r="C53" s="5">
        <f t="shared" si="6"/>
        <v>3166.53</v>
      </c>
      <c r="D53" s="12">
        <f t="shared" si="0"/>
        <v>24.038821077158424</v>
      </c>
      <c r="E53" s="3">
        <f t="shared" si="1"/>
        <v>3190.5688210771586</v>
      </c>
      <c r="F53" s="3">
        <f t="shared" si="2"/>
        <v>166.66666666666666</v>
      </c>
      <c r="G53" s="5">
        <f t="shared" si="3"/>
        <v>190.70548774382507</v>
      </c>
      <c r="H53" s="5">
        <v>0</v>
      </c>
      <c r="I53" s="5">
        <f t="shared" si="4"/>
        <v>190.70548774382507</v>
      </c>
      <c r="J53" s="5">
        <f t="shared" si="5"/>
        <v>2999.86</v>
      </c>
      <c r="K53" s="2"/>
    </row>
    <row r="54" spans="1:11" x14ac:dyDescent="0.25">
      <c r="A54" s="8">
        <v>43</v>
      </c>
      <c r="B54" s="9">
        <v>45839</v>
      </c>
      <c r="C54" s="5">
        <f t="shared" si="6"/>
        <v>2999.86</v>
      </c>
      <c r="D54" s="12">
        <f t="shared" si="0"/>
        <v>22.773540056947027</v>
      </c>
      <c r="E54" s="3">
        <f t="shared" si="1"/>
        <v>3022.6335400569474</v>
      </c>
      <c r="F54" s="3">
        <f t="shared" si="2"/>
        <v>166.66666666666666</v>
      </c>
      <c r="G54" s="5">
        <f t="shared" si="3"/>
        <v>189.4402067236137</v>
      </c>
      <c r="H54" s="5">
        <v>0</v>
      </c>
      <c r="I54" s="5">
        <f t="shared" si="4"/>
        <v>189.4402067236137</v>
      </c>
      <c r="J54" s="5">
        <f t="shared" si="5"/>
        <v>2833.19</v>
      </c>
      <c r="K54" s="2"/>
    </row>
    <row r="55" spans="1:11" x14ac:dyDescent="0.25">
      <c r="A55" s="8">
        <v>44</v>
      </c>
      <c r="B55" s="9">
        <v>45870</v>
      </c>
      <c r="C55" s="5">
        <f t="shared" si="6"/>
        <v>2833.19</v>
      </c>
      <c r="D55" s="12">
        <f t="shared" si="0"/>
        <v>21.50825903673563</v>
      </c>
      <c r="E55" s="3">
        <f t="shared" si="1"/>
        <v>2854.6982590367356</v>
      </c>
      <c r="F55" s="3">
        <f t="shared" si="2"/>
        <v>166.66666666666666</v>
      </c>
      <c r="G55" s="5">
        <f t="shared" si="3"/>
        <v>188.17492570340229</v>
      </c>
      <c r="H55" s="5">
        <v>0</v>
      </c>
      <c r="I55" s="5">
        <f t="shared" si="4"/>
        <v>188.17492570340229</v>
      </c>
      <c r="J55" s="5">
        <f t="shared" si="5"/>
        <v>2666.52</v>
      </c>
      <c r="K55" s="2"/>
    </row>
    <row r="56" spans="1:11" x14ac:dyDescent="0.25">
      <c r="A56" s="8">
        <v>45</v>
      </c>
      <c r="B56" s="9">
        <v>45901</v>
      </c>
      <c r="C56" s="5">
        <f t="shared" si="6"/>
        <v>2666.52</v>
      </c>
      <c r="D56" s="12">
        <f t="shared" si="0"/>
        <v>20.24297801652423</v>
      </c>
      <c r="E56" s="3">
        <f t="shared" si="1"/>
        <v>2686.7629780165244</v>
      </c>
      <c r="F56" s="3">
        <f t="shared" si="2"/>
        <v>166.66666666666666</v>
      </c>
      <c r="G56" s="5">
        <f t="shared" si="3"/>
        <v>186.90964468319089</v>
      </c>
      <c r="H56" s="5">
        <v>0</v>
      </c>
      <c r="I56" s="5">
        <f t="shared" si="4"/>
        <v>186.90964468319089</v>
      </c>
      <c r="J56" s="5">
        <f t="shared" si="5"/>
        <v>2499.85</v>
      </c>
      <c r="K56" s="2"/>
    </row>
    <row r="57" spans="1:11" x14ac:dyDescent="0.25">
      <c r="A57" s="8">
        <v>46</v>
      </c>
      <c r="B57" s="9">
        <v>45931</v>
      </c>
      <c r="C57" s="5">
        <f t="shared" si="6"/>
        <v>2499.85</v>
      </c>
      <c r="D57" s="12">
        <f t="shared" si="0"/>
        <v>18.977696996312833</v>
      </c>
      <c r="E57" s="3">
        <f t="shared" si="1"/>
        <v>2518.8276969963126</v>
      </c>
      <c r="F57" s="3">
        <f t="shared" si="2"/>
        <v>166.66666666666666</v>
      </c>
      <c r="G57" s="5">
        <f t="shared" si="3"/>
        <v>185.64436366297949</v>
      </c>
      <c r="H57" s="5">
        <v>0</v>
      </c>
      <c r="I57" s="5">
        <f t="shared" si="4"/>
        <v>185.64436366297949</v>
      </c>
      <c r="J57" s="5">
        <f t="shared" si="5"/>
        <v>2333.1799999999998</v>
      </c>
      <c r="K57" s="2"/>
    </row>
    <row r="58" spans="1:11" x14ac:dyDescent="0.25">
      <c r="A58" s="8">
        <v>47</v>
      </c>
      <c r="B58" s="9">
        <v>45962</v>
      </c>
      <c r="C58" s="5">
        <f t="shared" si="6"/>
        <v>2333.1799999999998</v>
      </c>
      <c r="D58" s="12">
        <f t="shared" si="0"/>
        <v>17.712415976101436</v>
      </c>
      <c r="E58" s="3">
        <f t="shared" si="1"/>
        <v>2350.8924159761013</v>
      </c>
      <c r="F58" s="3">
        <f t="shared" si="2"/>
        <v>166.66666666666666</v>
      </c>
      <c r="G58" s="5">
        <f t="shared" si="3"/>
        <v>184.37908264276808</v>
      </c>
      <c r="H58" s="5">
        <v>0</v>
      </c>
      <c r="I58" s="5">
        <f t="shared" si="4"/>
        <v>184.37908264276808</v>
      </c>
      <c r="J58" s="5">
        <f t="shared" si="5"/>
        <v>2166.5100000000002</v>
      </c>
      <c r="K58" s="2"/>
    </row>
    <row r="59" spans="1:11" x14ac:dyDescent="0.25">
      <c r="A59" s="8">
        <v>48</v>
      </c>
      <c r="B59" s="9">
        <v>45992</v>
      </c>
      <c r="C59" s="5">
        <f t="shared" si="6"/>
        <v>2166.5100000000002</v>
      </c>
      <c r="D59" s="12">
        <f t="shared" si="0"/>
        <v>16.447134955890043</v>
      </c>
      <c r="E59" s="3">
        <f t="shared" si="1"/>
        <v>2182.9571349558901</v>
      </c>
      <c r="F59" s="3">
        <f t="shared" si="2"/>
        <v>166.66666666666666</v>
      </c>
      <c r="G59" s="5">
        <f t="shared" si="3"/>
        <v>183.11380162255671</v>
      </c>
      <c r="H59" s="5">
        <v>0</v>
      </c>
      <c r="I59" s="5">
        <f t="shared" si="4"/>
        <v>183.11380162255671</v>
      </c>
      <c r="J59" s="5">
        <f t="shared" si="5"/>
        <v>1999.84</v>
      </c>
      <c r="K59" s="2"/>
    </row>
    <row r="60" spans="1:11" x14ac:dyDescent="0.25">
      <c r="A60" s="8">
        <v>49</v>
      </c>
      <c r="B60" s="9">
        <v>46023</v>
      </c>
      <c r="C60" s="5">
        <f t="shared" si="6"/>
        <v>1999.84</v>
      </c>
      <c r="D60" s="12">
        <f t="shared" si="0"/>
        <v>15.181853935678644</v>
      </c>
      <c r="E60" s="3">
        <f t="shared" si="1"/>
        <v>2015.0218539356786</v>
      </c>
      <c r="F60" s="3">
        <f t="shared" si="2"/>
        <v>166.66666666666666</v>
      </c>
      <c r="G60" s="5">
        <f t="shared" si="3"/>
        <v>181.8485206023453</v>
      </c>
      <c r="H60" s="5">
        <v>0</v>
      </c>
      <c r="I60" s="5">
        <f t="shared" si="4"/>
        <v>181.8485206023453</v>
      </c>
      <c r="J60" s="5">
        <f t="shared" si="5"/>
        <v>1833.17</v>
      </c>
      <c r="K60" s="2"/>
    </row>
    <row r="61" spans="1:11" x14ac:dyDescent="0.25">
      <c r="A61" s="8">
        <v>50</v>
      </c>
      <c r="B61" s="9">
        <v>46054</v>
      </c>
      <c r="C61" s="5">
        <f t="shared" si="6"/>
        <v>1833.17</v>
      </c>
      <c r="D61" s="12">
        <f t="shared" si="0"/>
        <v>13.916572915467249</v>
      </c>
      <c r="E61" s="3">
        <f t="shared" si="1"/>
        <v>1847.0865729154673</v>
      </c>
      <c r="F61" s="3">
        <f t="shared" si="2"/>
        <v>166.66666666666666</v>
      </c>
      <c r="G61" s="5">
        <f t="shared" si="3"/>
        <v>180.5832395821339</v>
      </c>
      <c r="H61" s="5">
        <v>0</v>
      </c>
      <c r="I61" s="5">
        <f t="shared" si="4"/>
        <v>180.5832395821339</v>
      </c>
      <c r="J61" s="5">
        <f t="shared" si="5"/>
        <v>1666.5</v>
      </c>
      <c r="K61" s="2"/>
    </row>
    <row r="62" spans="1:11" x14ac:dyDescent="0.25">
      <c r="A62" s="8">
        <v>51</v>
      </c>
      <c r="B62" s="9">
        <v>46082</v>
      </c>
      <c r="C62" s="5">
        <f t="shared" si="6"/>
        <v>1666.5</v>
      </c>
      <c r="D62" s="12">
        <f t="shared" si="0"/>
        <v>12.65129189525585</v>
      </c>
      <c r="E62" s="3">
        <f t="shared" si="1"/>
        <v>1679.1512918952558</v>
      </c>
      <c r="F62" s="3">
        <f t="shared" si="2"/>
        <v>166.66666666666666</v>
      </c>
      <c r="G62" s="5">
        <f t="shared" si="3"/>
        <v>179.3179585619225</v>
      </c>
      <c r="H62" s="5">
        <v>0</v>
      </c>
      <c r="I62" s="5">
        <f t="shared" si="4"/>
        <v>179.3179585619225</v>
      </c>
      <c r="J62" s="5">
        <f t="shared" si="5"/>
        <v>1499.83</v>
      </c>
      <c r="K62" s="2"/>
    </row>
    <row r="63" spans="1:11" x14ac:dyDescent="0.25">
      <c r="A63" s="8">
        <v>52</v>
      </c>
      <c r="B63" s="9">
        <v>46113</v>
      </c>
      <c r="C63" s="5">
        <f t="shared" si="6"/>
        <v>1499.83</v>
      </c>
      <c r="D63" s="12">
        <f t="shared" si="0"/>
        <v>11.386010875044454</v>
      </c>
      <c r="E63" s="3">
        <f t="shared" si="1"/>
        <v>1511.2160108750443</v>
      </c>
      <c r="F63" s="3">
        <f t="shared" si="2"/>
        <v>166.66666666666666</v>
      </c>
      <c r="G63" s="5">
        <f t="shared" si="3"/>
        <v>178.05267754171112</v>
      </c>
      <c r="H63" s="5">
        <v>0</v>
      </c>
      <c r="I63" s="5">
        <f t="shared" si="4"/>
        <v>178.05267754171112</v>
      </c>
      <c r="J63" s="5">
        <f t="shared" si="5"/>
        <v>1333.16</v>
      </c>
      <c r="K63" s="2"/>
    </row>
    <row r="64" spans="1:11" x14ac:dyDescent="0.25">
      <c r="A64" s="8">
        <v>53</v>
      </c>
      <c r="B64" s="9">
        <v>46143</v>
      </c>
      <c r="C64" s="5">
        <f t="shared" si="6"/>
        <v>1333.16</v>
      </c>
      <c r="D64" s="12">
        <f t="shared" si="0"/>
        <v>10.120729854833058</v>
      </c>
      <c r="E64" s="3">
        <f t="shared" si="1"/>
        <v>1343.2807298548332</v>
      </c>
      <c r="F64" s="3">
        <f t="shared" si="2"/>
        <v>166.66666666666666</v>
      </c>
      <c r="G64" s="5">
        <f t="shared" si="3"/>
        <v>176.78739652149972</v>
      </c>
      <c r="H64" s="5">
        <v>0</v>
      </c>
      <c r="I64" s="5">
        <f t="shared" si="4"/>
        <v>176.78739652149972</v>
      </c>
      <c r="J64" s="5">
        <f t="shared" si="5"/>
        <v>1166.49</v>
      </c>
      <c r="K64" s="2"/>
    </row>
    <row r="65" spans="1:11" x14ac:dyDescent="0.25">
      <c r="A65" s="8">
        <v>54</v>
      </c>
      <c r="B65" s="9">
        <v>46174</v>
      </c>
      <c r="C65" s="5">
        <f t="shared" si="6"/>
        <v>1166.49</v>
      </c>
      <c r="D65" s="12">
        <f t="shared" si="0"/>
        <v>8.8554488346216615</v>
      </c>
      <c r="E65" s="3">
        <f t="shared" si="1"/>
        <v>1175.3454488346217</v>
      </c>
      <c r="F65" s="3">
        <f t="shared" si="2"/>
        <v>166.66666666666666</v>
      </c>
      <c r="G65" s="5">
        <f t="shared" si="3"/>
        <v>175.52211550128831</v>
      </c>
      <c r="H65" s="5">
        <v>0</v>
      </c>
      <c r="I65" s="5">
        <f t="shared" si="4"/>
        <v>175.52211550128831</v>
      </c>
      <c r="J65" s="5">
        <f t="shared" si="5"/>
        <v>999.82</v>
      </c>
      <c r="K65" s="2"/>
    </row>
    <row r="66" spans="1:11" x14ac:dyDescent="0.25">
      <c r="A66" s="8">
        <v>55</v>
      </c>
      <c r="B66" s="9">
        <v>46204</v>
      </c>
      <c r="C66" s="5">
        <f t="shared" si="6"/>
        <v>999.82</v>
      </c>
      <c r="D66" s="12">
        <f t="shared" si="0"/>
        <v>7.5901678144102647</v>
      </c>
      <c r="E66" s="3">
        <f t="shared" si="1"/>
        <v>1007.4101678144103</v>
      </c>
      <c r="F66" s="3">
        <f t="shared" si="2"/>
        <v>166.66666666666666</v>
      </c>
      <c r="G66" s="5">
        <f t="shared" si="3"/>
        <v>174.25683448107691</v>
      </c>
      <c r="H66" s="5">
        <v>0</v>
      </c>
      <c r="I66" s="5">
        <f t="shared" si="4"/>
        <v>174.25683448107691</v>
      </c>
      <c r="J66" s="5">
        <f t="shared" si="5"/>
        <v>833.15</v>
      </c>
      <c r="K66" s="2"/>
    </row>
    <row r="67" spans="1:11" x14ac:dyDescent="0.25">
      <c r="A67" s="8">
        <v>56</v>
      </c>
      <c r="B67" s="9">
        <v>46235</v>
      </c>
      <c r="C67" s="5">
        <f t="shared" si="6"/>
        <v>833.15</v>
      </c>
      <c r="D67" s="12">
        <f t="shared" si="0"/>
        <v>6.3248867941988669</v>
      </c>
      <c r="E67" s="3">
        <f t="shared" si="1"/>
        <v>839.47488679419882</v>
      </c>
      <c r="F67" s="3">
        <f t="shared" si="2"/>
        <v>166.66666666666666</v>
      </c>
      <c r="G67" s="5">
        <f t="shared" si="3"/>
        <v>172.99155346086553</v>
      </c>
      <c r="H67" s="5">
        <v>0</v>
      </c>
      <c r="I67" s="5">
        <f t="shared" si="4"/>
        <v>172.99155346086553</v>
      </c>
      <c r="J67" s="5">
        <f t="shared" si="5"/>
        <v>666.48</v>
      </c>
      <c r="K67" s="2"/>
    </row>
    <row r="68" spans="1:11" x14ac:dyDescent="0.25">
      <c r="A68" s="8">
        <v>57</v>
      </c>
      <c r="B68" s="9">
        <v>46266</v>
      </c>
      <c r="C68" s="5">
        <f t="shared" si="6"/>
        <v>666.48</v>
      </c>
      <c r="D68" s="12">
        <f t="shared" si="0"/>
        <v>5.0596057739874709</v>
      </c>
      <c r="E68" s="3">
        <f t="shared" si="1"/>
        <v>671.53960577398743</v>
      </c>
      <c r="F68" s="3">
        <f t="shared" si="2"/>
        <v>166.66666666666666</v>
      </c>
      <c r="G68" s="5">
        <f t="shared" si="3"/>
        <v>171.72627244065413</v>
      </c>
      <c r="H68" s="5">
        <v>0</v>
      </c>
      <c r="I68" s="5">
        <f t="shared" si="4"/>
        <v>171.72627244065413</v>
      </c>
      <c r="J68" s="5">
        <f t="shared" si="5"/>
        <v>499.81</v>
      </c>
      <c r="K68" s="2"/>
    </row>
    <row r="69" spans="1:11" x14ac:dyDescent="0.25">
      <c r="A69" s="8">
        <v>58</v>
      </c>
      <c r="B69" s="9">
        <v>46296</v>
      </c>
      <c r="C69" s="5">
        <f t="shared" si="6"/>
        <v>499.81</v>
      </c>
      <c r="D69" s="12">
        <f t="shared" si="0"/>
        <v>3.7943247537760736</v>
      </c>
      <c r="E69" s="3">
        <f t="shared" si="1"/>
        <v>503.6043247537761</v>
      </c>
      <c r="F69" s="3">
        <f t="shared" si="2"/>
        <v>166.66666666666666</v>
      </c>
      <c r="G69" s="5">
        <f t="shared" si="3"/>
        <v>170.46099142044272</v>
      </c>
      <c r="H69" s="5">
        <v>0</v>
      </c>
      <c r="I69" s="5">
        <f t="shared" si="4"/>
        <v>170.46099142044272</v>
      </c>
      <c r="J69" s="5">
        <f t="shared" si="5"/>
        <v>333.14</v>
      </c>
      <c r="K69" s="2"/>
    </row>
    <row r="70" spans="1:11" x14ac:dyDescent="0.25">
      <c r="A70" s="8">
        <v>59</v>
      </c>
      <c r="B70" s="9">
        <v>46327</v>
      </c>
      <c r="C70" s="5">
        <f t="shared" si="6"/>
        <v>333.14</v>
      </c>
      <c r="D70" s="12">
        <f t="shared" si="0"/>
        <v>2.5290437335646767</v>
      </c>
      <c r="E70" s="13">
        <f t="shared" si="1"/>
        <v>335.66904373356465</v>
      </c>
      <c r="F70" s="13">
        <f t="shared" si="2"/>
        <v>166.66666666666666</v>
      </c>
      <c r="G70" s="5">
        <f t="shared" si="3"/>
        <v>169.19571040023132</v>
      </c>
      <c r="H70" s="5">
        <v>0</v>
      </c>
      <c r="I70" s="5">
        <f t="shared" si="4"/>
        <v>169.19571040023132</v>
      </c>
      <c r="J70" s="5">
        <f t="shared" si="5"/>
        <v>166.47</v>
      </c>
      <c r="K70" s="2"/>
    </row>
    <row r="71" spans="1:11" x14ac:dyDescent="0.25">
      <c r="A71" s="8">
        <v>60</v>
      </c>
      <c r="B71" s="9">
        <v>46357</v>
      </c>
      <c r="C71" s="5">
        <f t="shared" si="6"/>
        <v>166.47</v>
      </c>
      <c r="D71" s="12">
        <f t="shared" si="0"/>
        <v>1.2637627133532803</v>
      </c>
      <c r="E71" s="13">
        <f t="shared" si="1"/>
        <v>167.73376271335329</v>
      </c>
      <c r="F71" s="13">
        <f t="shared" si="2"/>
        <v>166.66666666666666</v>
      </c>
      <c r="G71" s="5">
        <f t="shared" si="3"/>
        <v>167.93042938001994</v>
      </c>
      <c r="H71" s="5">
        <v>0</v>
      </c>
      <c r="I71" s="5">
        <f t="shared" si="4"/>
        <v>167.93042938001994</v>
      </c>
      <c r="J71" s="5">
        <f t="shared" si="5"/>
        <v>0</v>
      </c>
      <c r="K71" s="2"/>
    </row>
    <row r="72" spans="1:11" x14ac:dyDescent="0.25">
      <c r="A72" s="8">
        <v>61</v>
      </c>
      <c r="B72" s="9">
        <v>46388</v>
      </c>
      <c r="C72" s="5">
        <f t="shared" si="6"/>
        <v>0</v>
      </c>
      <c r="D72" s="12">
        <f t="shared" si="0"/>
        <v>0</v>
      </c>
      <c r="E72" s="3">
        <f t="shared" si="1"/>
        <v>0</v>
      </c>
      <c r="F72" s="3">
        <f t="shared" si="2"/>
        <v>0</v>
      </c>
      <c r="G72" s="5">
        <f t="shared" si="3"/>
        <v>0</v>
      </c>
      <c r="H72" s="5">
        <v>0</v>
      </c>
      <c r="I72" s="5">
        <f t="shared" si="4"/>
        <v>0</v>
      </c>
      <c r="J72" s="5">
        <f t="shared" si="5"/>
        <v>0</v>
      </c>
      <c r="K72" s="2"/>
    </row>
    <row r="73" spans="1:11" x14ac:dyDescent="0.25">
      <c r="A73" s="8">
        <v>62</v>
      </c>
      <c r="B73" s="9">
        <v>46419</v>
      </c>
      <c r="C73" s="5">
        <f t="shared" si="6"/>
        <v>0</v>
      </c>
      <c r="D73" s="12">
        <f t="shared" si="0"/>
        <v>0</v>
      </c>
      <c r="E73" s="3">
        <f t="shared" si="1"/>
        <v>0</v>
      </c>
      <c r="F73" s="3">
        <f t="shared" si="2"/>
        <v>0</v>
      </c>
      <c r="G73" s="5">
        <f t="shared" si="3"/>
        <v>0</v>
      </c>
      <c r="H73" s="5">
        <v>0</v>
      </c>
      <c r="I73" s="5">
        <f t="shared" si="4"/>
        <v>0</v>
      </c>
      <c r="J73" s="5">
        <f t="shared" si="5"/>
        <v>0</v>
      </c>
      <c r="K73" s="2"/>
    </row>
    <row r="74" spans="1:11" x14ac:dyDescent="0.25">
      <c r="A74" s="8">
        <v>63</v>
      </c>
      <c r="B74" s="9">
        <v>46447</v>
      </c>
      <c r="C74" s="5">
        <f t="shared" si="6"/>
        <v>0</v>
      </c>
      <c r="D74" s="12">
        <f t="shared" si="0"/>
        <v>0</v>
      </c>
      <c r="E74" s="3">
        <f t="shared" si="1"/>
        <v>0</v>
      </c>
      <c r="F74" s="3">
        <f t="shared" si="2"/>
        <v>0</v>
      </c>
      <c r="G74" s="5">
        <f t="shared" si="3"/>
        <v>0</v>
      </c>
      <c r="H74" s="5">
        <v>0</v>
      </c>
      <c r="I74" s="5">
        <f t="shared" si="4"/>
        <v>0</v>
      </c>
      <c r="J74" s="5">
        <f t="shared" si="5"/>
        <v>0</v>
      </c>
      <c r="K74" s="2"/>
    </row>
    <row r="75" spans="1:11" x14ac:dyDescent="0.25">
      <c r="A75" s="8">
        <v>64</v>
      </c>
      <c r="B75" s="9">
        <v>46478</v>
      </c>
      <c r="C75" s="5">
        <f t="shared" si="6"/>
        <v>0</v>
      </c>
      <c r="D75" s="12">
        <f t="shared" si="0"/>
        <v>0</v>
      </c>
      <c r="E75" s="3">
        <f t="shared" si="1"/>
        <v>0</v>
      </c>
      <c r="F75" s="3">
        <f t="shared" si="2"/>
        <v>0</v>
      </c>
      <c r="G75" s="5">
        <f t="shared" si="3"/>
        <v>0</v>
      </c>
      <c r="H75" s="5">
        <v>0</v>
      </c>
      <c r="I75" s="5">
        <f t="shared" si="4"/>
        <v>0</v>
      </c>
      <c r="J75" s="5">
        <f t="shared" si="5"/>
        <v>0</v>
      </c>
      <c r="K75" s="2"/>
    </row>
    <row r="76" spans="1:11" x14ac:dyDescent="0.25">
      <c r="A76" s="8">
        <v>65</v>
      </c>
      <c r="B76" s="9">
        <v>46508</v>
      </c>
      <c r="C76" s="5">
        <f t="shared" si="6"/>
        <v>0</v>
      </c>
      <c r="D76" s="12">
        <f t="shared" si="0"/>
        <v>0</v>
      </c>
      <c r="E76" s="3">
        <f t="shared" si="1"/>
        <v>0</v>
      </c>
      <c r="F76" s="3">
        <f t="shared" si="2"/>
        <v>0</v>
      </c>
      <c r="G76" s="5">
        <f t="shared" si="3"/>
        <v>0</v>
      </c>
      <c r="H76" s="5">
        <v>0</v>
      </c>
      <c r="I76" s="5">
        <f t="shared" si="4"/>
        <v>0</v>
      </c>
      <c r="J76" s="5">
        <f t="shared" si="5"/>
        <v>0</v>
      </c>
      <c r="K76" s="2"/>
    </row>
    <row r="77" spans="1:11" x14ac:dyDescent="0.25">
      <c r="A77" s="8">
        <v>66</v>
      </c>
      <c r="B77" s="9">
        <v>46539</v>
      </c>
      <c r="C77" s="5">
        <f t="shared" si="6"/>
        <v>0</v>
      </c>
      <c r="D77" s="12">
        <f t="shared" ref="D77:D140" si="7">C77*$C$6</f>
        <v>0</v>
      </c>
      <c r="E77" s="3">
        <f t="shared" ref="E77:E140" si="8">C77+D77</f>
        <v>0</v>
      </c>
      <c r="F77" s="3">
        <f t="shared" ref="F77:F140" si="9">IF(C77&gt;0,$C$4/$C$8,0)</f>
        <v>0</v>
      </c>
      <c r="G77" s="5">
        <f t="shared" ref="G77:G140" si="10">IF(C77&gt;0,F77+D77,0)</f>
        <v>0</v>
      </c>
      <c r="H77" s="5">
        <v>0</v>
      </c>
      <c r="I77" s="5">
        <f t="shared" ref="I77:I140" si="11">IF(C77&gt;0,H77+G77,0)</f>
        <v>0</v>
      </c>
      <c r="J77" s="5">
        <f t="shared" ref="J77:J140" si="12">IF(E77-I77&gt;0,ROUND(E77-I77,2),0)</f>
        <v>0</v>
      </c>
      <c r="K77" s="2"/>
    </row>
    <row r="78" spans="1:11" x14ac:dyDescent="0.25">
      <c r="A78" s="8">
        <v>67</v>
      </c>
      <c r="B78" s="9">
        <v>46569</v>
      </c>
      <c r="C78" s="5">
        <f t="shared" ref="C78:C141" si="13">IF(J77&gt;0,J77,0)</f>
        <v>0</v>
      </c>
      <c r="D78" s="12">
        <f t="shared" si="7"/>
        <v>0</v>
      </c>
      <c r="E78" s="3">
        <f t="shared" si="8"/>
        <v>0</v>
      </c>
      <c r="F78" s="3">
        <f t="shared" si="9"/>
        <v>0</v>
      </c>
      <c r="G78" s="5">
        <f t="shared" si="10"/>
        <v>0</v>
      </c>
      <c r="H78" s="5">
        <v>0</v>
      </c>
      <c r="I78" s="5">
        <f t="shared" si="11"/>
        <v>0</v>
      </c>
      <c r="J78" s="5">
        <f t="shared" si="12"/>
        <v>0</v>
      </c>
      <c r="K78" s="2"/>
    </row>
    <row r="79" spans="1:11" x14ac:dyDescent="0.25">
      <c r="A79" s="8">
        <v>68</v>
      </c>
      <c r="B79" s="9">
        <v>46600</v>
      </c>
      <c r="C79" s="5">
        <f t="shared" si="13"/>
        <v>0</v>
      </c>
      <c r="D79" s="12">
        <f t="shared" si="7"/>
        <v>0</v>
      </c>
      <c r="E79" s="3">
        <f t="shared" si="8"/>
        <v>0</v>
      </c>
      <c r="F79" s="3">
        <f t="shared" si="9"/>
        <v>0</v>
      </c>
      <c r="G79" s="5">
        <f t="shared" si="10"/>
        <v>0</v>
      </c>
      <c r="H79" s="5">
        <v>0</v>
      </c>
      <c r="I79" s="5">
        <f t="shared" si="11"/>
        <v>0</v>
      </c>
      <c r="J79" s="5">
        <f t="shared" si="12"/>
        <v>0</v>
      </c>
      <c r="K79" s="2"/>
    </row>
    <row r="80" spans="1:11" x14ac:dyDescent="0.25">
      <c r="A80" s="8">
        <v>69</v>
      </c>
      <c r="B80" s="9">
        <v>46631</v>
      </c>
      <c r="C80" s="5">
        <f t="shared" si="13"/>
        <v>0</v>
      </c>
      <c r="D80" s="12">
        <f t="shared" si="7"/>
        <v>0</v>
      </c>
      <c r="E80" s="3">
        <f t="shared" si="8"/>
        <v>0</v>
      </c>
      <c r="F80" s="3">
        <f t="shared" si="9"/>
        <v>0</v>
      </c>
      <c r="G80" s="5">
        <f t="shared" si="10"/>
        <v>0</v>
      </c>
      <c r="H80" s="5">
        <v>0</v>
      </c>
      <c r="I80" s="5">
        <f t="shared" si="11"/>
        <v>0</v>
      </c>
      <c r="J80" s="5">
        <f t="shared" si="12"/>
        <v>0</v>
      </c>
      <c r="K80" s="2"/>
    </row>
    <row r="81" spans="1:11" x14ac:dyDescent="0.25">
      <c r="A81" s="8">
        <v>70</v>
      </c>
      <c r="B81" s="9">
        <v>46661</v>
      </c>
      <c r="C81" s="5">
        <f t="shared" si="13"/>
        <v>0</v>
      </c>
      <c r="D81" s="12">
        <f t="shared" si="7"/>
        <v>0</v>
      </c>
      <c r="E81" s="3">
        <f t="shared" si="8"/>
        <v>0</v>
      </c>
      <c r="F81" s="3">
        <f t="shared" si="9"/>
        <v>0</v>
      </c>
      <c r="G81" s="5">
        <f t="shared" si="10"/>
        <v>0</v>
      </c>
      <c r="H81" s="5">
        <v>0</v>
      </c>
      <c r="I81" s="5">
        <f t="shared" si="11"/>
        <v>0</v>
      </c>
      <c r="J81" s="5">
        <f t="shared" si="12"/>
        <v>0</v>
      </c>
      <c r="K81" s="2"/>
    </row>
    <row r="82" spans="1:11" x14ac:dyDescent="0.25">
      <c r="A82" s="8">
        <v>71</v>
      </c>
      <c r="B82" s="9">
        <v>46692</v>
      </c>
      <c r="C82" s="5">
        <f t="shared" si="13"/>
        <v>0</v>
      </c>
      <c r="D82" s="12">
        <f t="shared" si="7"/>
        <v>0</v>
      </c>
      <c r="E82" s="3">
        <f t="shared" si="8"/>
        <v>0</v>
      </c>
      <c r="F82" s="3">
        <f t="shared" si="9"/>
        <v>0</v>
      </c>
      <c r="G82" s="5">
        <f t="shared" si="10"/>
        <v>0</v>
      </c>
      <c r="H82" s="5">
        <v>0</v>
      </c>
      <c r="I82" s="5">
        <f t="shared" si="11"/>
        <v>0</v>
      </c>
      <c r="J82" s="5">
        <f t="shared" si="12"/>
        <v>0</v>
      </c>
      <c r="K82" s="2"/>
    </row>
    <row r="83" spans="1:11" x14ac:dyDescent="0.25">
      <c r="A83" s="8">
        <v>72</v>
      </c>
      <c r="B83" s="9">
        <v>46722</v>
      </c>
      <c r="C83" s="5">
        <f t="shared" si="13"/>
        <v>0</v>
      </c>
      <c r="D83" s="12">
        <f t="shared" si="7"/>
        <v>0</v>
      </c>
      <c r="E83" s="3">
        <f t="shared" si="8"/>
        <v>0</v>
      </c>
      <c r="F83" s="3">
        <f t="shared" si="9"/>
        <v>0</v>
      </c>
      <c r="G83" s="5">
        <f t="shared" si="10"/>
        <v>0</v>
      </c>
      <c r="H83" s="5">
        <v>0</v>
      </c>
      <c r="I83" s="5">
        <f t="shared" si="11"/>
        <v>0</v>
      </c>
      <c r="J83" s="5">
        <f t="shared" si="12"/>
        <v>0</v>
      </c>
      <c r="K83" s="2"/>
    </row>
    <row r="84" spans="1:11" x14ac:dyDescent="0.25">
      <c r="A84" s="8">
        <v>73</v>
      </c>
      <c r="B84" s="9">
        <v>46753</v>
      </c>
      <c r="C84" s="5">
        <f t="shared" si="13"/>
        <v>0</v>
      </c>
      <c r="D84" s="12">
        <f t="shared" si="7"/>
        <v>0</v>
      </c>
      <c r="E84" s="3">
        <f t="shared" si="8"/>
        <v>0</v>
      </c>
      <c r="F84" s="3">
        <f t="shared" si="9"/>
        <v>0</v>
      </c>
      <c r="G84" s="5">
        <f t="shared" si="10"/>
        <v>0</v>
      </c>
      <c r="H84" s="5">
        <v>0</v>
      </c>
      <c r="I84" s="5">
        <f t="shared" si="11"/>
        <v>0</v>
      </c>
      <c r="J84" s="5">
        <f t="shared" si="12"/>
        <v>0</v>
      </c>
      <c r="K84" s="2"/>
    </row>
    <row r="85" spans="1:11" x14ac:dyDescent="0.25">
      <c r="A85" s="8">
        <v>74</v>
      </c>
      <c r="B85" s="9">
        <v>46784</v>
      </c>
      <c r="C85" s="5">
        <f t="shared" si="13"/>
        <v>0</v>
      </c>
      <c r="D85" s="12">
        <f t="shared" si="7"/>
        <v>0</v>
      </c>
      <c r="E85" s="3">
        <f t="shared" si="8"/>
        <v>0</v>
      </c>
      <c r="F85" s="3">
        <f t="shared" si="9"/>
        <v>0</v>
      </c>
      <c r="G85" s="5">
        <f t="shared" si="10"/>
        <v>0</v>
      </c>
      <c r="H85" s="5">
        <v>0</v>
      </c>
      <c r="I85" s="5">
        <f t="shared" si="11"/>
        <v>0</v>
      </c>
      <c r="J85" s="5">
        <f t="shared" si="12"/>
        <v>0</v>
      </c>
      <c r="K85" s="2"/>
    </row>
    <row r="86" spans="1:11" x14ac:dyDescent="0.25">
      <c r="A86" s="8">
        <v>75</v>
      </c>
      <c r="B86" s="9">
        <v>46813</v>
      </c>
      <c r="C86" s="5">
        <f t="shared" si="13"/>
        <v>0</v>
      </c>
      <c r="D86" s="12">
        <f t="shared" si="7"/>
        <v>0</v>
      </c>
      <c r="E86" s="3">
        <f t="shared" si="8"/>
        <v>0</v>
      </c>
      <c r="F86" s="3">
        <f t="shared" si="9"/>
        <v>0</v>
      </c>
      <c r="G86" s="5">
        <f t="shared" si="10"/>
        <v>0</v>
      </c>
      <c r="H86" s="5">
        <v>0</v>
      </c>
      <c r="I86" s="5">
        <f t="shared" si="11"/>
        <v>0</v>
      </c>
      <c r="J86" s="5">
        <f t="shared" si="12"/>
        <v>0</v>
      </c>
      <c r="K86" s="2"/>
    </row>
    <row r="87" spans="1:11" x14ac:dyDescent="0.25">
      <c r="A87" s="8">
        <v>76</v>
      </c>
      <c r="B87" s="9">
        <v>46844</v>
      </c>
      <c r="C87" s="5">
        <f t="shared" si="13"/>
        <v>0</v>
      </c>
      <c r="D87" s="12">
        <f t="shared" si="7"/>
        <v>0</v>
      </c>
      <c r="E87" s="3">
        <f t="shared" si="8"/>
        <v>0</v>
      </c>
      <c r="F87" s="3">
        <f t="shared" si="9"/>
        <v>0</v>
      </c>
      <c r="G87" s="5">
        <f t="shared" si="10"/>
        <v>0</v>
      </c>
      <c r="H87" s="5">
        <v>0</v>
      </c>
      <c r="I87" s="5">
        <f t="shared" si="11"/>
        <v>0</v>
      </c>
      <c r="J87" s="5">
        <f t="shared" si="12"/>
        <v>0</v>
      </c>
      <c r="K87" s="2"/>
    </row>
    <row r="88" spans="1:11" x14ac:dyDescent="0.25">
      <c r="A88" s="8">
        <v>77</v>
      </c>
      <c r="B88" s="9">
        <v>46874</v>
      </c>
      <c r="C88" s="5">
        <f t="shared" si="13"/>
        <v>0</v>
      </c>
      <c r="D88" s="12">
        <f t="shared" si="7"/>
        <v>0</v>
      </c>
      <c r="E88" s="3">
        <f t="shared" si="8"/>
        <v>0</v>
      </c>
      <c r="F88" s="3">
        <f t="shared" si="9"/>
        <v>0</v>
      </c>
      <c r="G88" s="5">
        <f t="shared" si="10"/>
        <v>0</v>
      </c>
      <c r="H88" s="5">
        <v>0</v>
      </c>
      <c r="I88" s="5">
        <f t="shared" si="11"/>
        <v>0</v>
      </c>
      <c r="J88" s="5">
        <f t="shared" si="12"/>
        <v>0</v>
      </c>
      <c r="K88" s="2"/>
    </row>
    <row r="89" spans="1:11" x14ac:dyDescent="0.25">
      <c r="A89" s="8">
        <v>78</v>
      </c>
      <c r="B89" s="9">
        <v>46905</v>
      </c>
      <c r="C89" s="5">
        <f t="shared" si="13"/>
        <v>0</v>
      </c>
      <c r="D89" s="12">
        <f t="shared" si="7"/>
        <v>0</v>
      </c>
      <c r="E89" s="3">
        <f t="shared" si="8"/>
        <v>0</v>
      </c>
      <c r="F89" s="3">
        <f t="shared" si="9"/>
        <v>0</v>
      </c>
      <c r="G89" s="5">
        <f t="shared" si="10"/>
        <v>0</v>
      </c>
      <c r="H89" s="5">
        <v>0</v>
      </c>
      <c r="I89" s="5">
        <f t="shared" si="11"/>
        <v>0</v>
      </c>
      <c r="J89" s="5">
        <f t="shared" si="12"/>
        <v>0</v>
      </c>
      <c r="K89" s="2"/>
    </row>
    <row r="90" spans="1:11" x14ac:dyDescent="0.25">
      <c r="A90" s="8">
        <v>79</v>
      </c>
      <c r="B90" s="9">
        <v>46935</v>
      </c>
      <c r="C90" s="5">
        <f t="shared" si="13"/>
        <v>0</v>
      </c>
      <c r="D90" s="12">
        <f t="shared" si="7"/>
        <v>0</v>
      </c>
      <c r="E90" s="3">
        <f t="shared" si="8"/>
        <v>0</v>
      </c>
      <c r="F90" s="3">
        <f t="shared" si="9"/>
        <v>0</v>
      </c>
      <c r="G90" s="5">
        <f t="shared" si="10"/>
        <v>0</v>
      </c>
      <c r="H90" s="5">
        <v>0</v>
      </c>
      <c r="I90" s="5">
        <f t="shared" si="11"/>
        <v>0</v>
      </c>
      <c r="J90" s="5">
        <f t="shared" si="12"/>
        <v>0</v>
      </c>
      <c r="K90" s="2"/>
    </row>
    <row r="91" spans="1:11" x14ac:dyDescent="0.25">
      <c r="A91" s="8">
        <v>80</v>
      </c>
      <c r="B91" s="9">
        <v>46966</v>
      </c>
      <c r="C91" s="5">
        <f t="shared" si="13"/>
        <v>0</v>
      </c>
      <c r="D91" s="12">
        <f t="shared" si="7"/>
        <v>0</v>
      </c>
      <c r="E91" s="3">
        <f t="shared" si="8"/>
        <v>0</v>
      </c>
      <c r="F91" s="3">
        <f t="shared" si="9"/>
        <v>0</v>
      </c>
      <c r="G91" s="5">
        <f t="shared" si="10"/>
        <v>0</v>
      </c>
      <c r="H91" s="5">
        <v>0</v>
      </c>
      <c r="I91" s="5">
        <f t="shared" si="11"/>
        <v>0</v>
      </c>
      <c r="J91" s="5">
        <f t="shared" si="12"/>
        <v>0</v>
      </c>
      <c r="K91" s="2"/>
    </row>
    <row r="92" spans="1:11" x14ac:dyDescent="0.25">
      <c r="A92" s="8">
        <v>81</v>
      </c>
      <c r="B92" s="9">
        <v>46997</v>
      </c>
      <c r="C92" s="5">
        <f t="shared" si="13"/>
        <v>0</v>
      </c>
      <c r="D92" s="12">
        <f t="shared" si="7"/>
        <v>0</v>
      </c>
      <c r="E92" s="3">
        <f t="shared" si="8"/>
        <v>0</v>
      </c>
      <c r="F92" s="3">
        <f t="shared" si="9"/>
        <v>0</v>
      </c>
      <c r="G92" s="5">
        <f t="shared" si="10"/>
        <v>0</v>
      </c>
      <c r="H92" s="5">
        <v>0</v>
      </c>
      <c r="I92" s="5">
        <f t="shared" si="11"/>
        <v>0</v>
      </c>
      <c r="J92" s="5">
        <f t="shared" si="12"/>
        <v>0</v>
      </c>
      <c r="K92" s="2"/>
    </row>
    <row r="93" spans="1:11" x14ac:dyDescent="0.25">
      <c r="A93" s="8">
        <v>82</v>
      </c>
      <c r="B93" s="9">
        <v>47027</v>
      </c>
      <c r="C93" s="5">
        <f t="shared" si="13"/>
        <v>0</v>
      </c>
      <c r="D93" s="12">
        <f t="shared" si="7"/>
        <v>0</v>
      </c>
      <c r="E93" s="3">
        <f t="shared" si="8"/>
        <v>0</v>
      </c>
      <c r="F93" s="3">
        <f t="shared" si="9"/>
        <v>0</v>
      </c>
      <c r="G93" s="5">
        <f t="shared" si="10"/>
        <v>0</v>
      </c>
      <c r="H93" s="5">
        <v>0</v>
      </c>
      <c r="I93" s="5">
        <f t="shared" si="11"/>
        <v>0</v>
      </c>
      <c r="J93" s="5">
        <f t="shared" si="12"/>
        <v>0</v>
      </c>
      <c r="K93" s="2"/>
    </row>
    <row r="94" spans="1:11" x14ac:dyDescent="0.25">
      <c r="A94" s="8">
        <v>83</v>
      </c>
      <c r="B94" s="9">
        <v>47058</v>
      </c>
      <c r="C94" s="5">
        <f t="shared" si="13"/>
        <v>0</v>
      </c>
      <c r="D94" s="12">
        <f t="shared" si="7"/>
        <v>0</v>
      </c>
      <c r="E94" s="3">
        <f t="shared" si="8"/>
        <v>0</v>
      </c>
      <c r="F94" s="3">
        <f t="shared" si="9"/>
        <v>0</v>
      </c>
      <c r="G94" s="5">
        <f t="shared" si="10"/>
        <v>0</v>
      </c>
      <c r="H94" s="5">
        <v>0</v>
      </c>
      <c r="I94" s="5">
        <f t="shared" si="11"/>
        <v>0</v>
      </c>
      <c r="J94" s="5">
        <f t="shared" si="12"/>
        <v>0</v>
      </c>
      <c r="K94" s="2"/>
    </row>
    <row r="95" spans="1:11" x14ac:dyDescent="0.25">
      <c r="A95" s="8">
        <v>84</v>
      </c>
      <c r="B95" s="9">
        <v>47088</v>
      </c>
      <c r="C95" s="5">
        <f t="shared" si="13"/>
        <v>0</v>
      </c>
      <c r="D95" s="12">
        <f t="shared" si="7"/>
        <v>0</v>
      </c>
      <c r="E95" s="3">
        <f t="shared" si="8"/>
        <v>0</v>
      </c>
      <c r="F95" s="3">
        <f t="shared" si="9"/>
        <v>0</v>
      </c>
      <c r="G95" s="5">
        <f t="shared" si="10"/>
        <v>0</v>
      </c>
      <c r="H95" s="5">
        <v>0</v>
      </c>
      <c r="I95" s="5">
        <f t="shared" si="11"/>
        <v>0</v>
      </c>
      <c r="J95" s="5">
        <f t="shared" si="12"/>
        <v>0</v>
      </c>
      <c r="K95" s="2"/>
    </row>
    <row r="96" spans="1:11" x14ac:dyDescent="0.25">
      <c r="A96" s="8">
        <v>85</v>
      </c>
      <c r="B96" s="9">
        <v>47119</v>
      </c>
      <c r="C96" s="5">
        <f t="shared" si="13"/>
        <v>0</v>
      </c>
      <c r="D96" s="12">
        <f t="shared" si="7"/>
        <v>0</v>
      </c>
      <c r="E96" s="3">
        <f t="shared" si="8"/>
        <v>0</v>
      </c>
      <c r="F96" s="3">
        <f t="shared" si="9"/>
        <v>0</v>
      </c>
      <c r="G96" s="5">
        <f t="shared" si="10"/>
        <v>0</v>
      </c>
      <c r="H96" s="5">
        <v>0</v>
      </c>
      <c r="I96" s="5">
        <f t="shared" si="11"/>
        <v>0</v>
      </c>
      <c r="J96" s="5">
        <f t="shared" si="12"/>
        <v>0</v>
      </c>
      <c r="K96" s="2"/>
    </row>
    <row r="97" spans="1:11" x14ac:dyDescent="0.25">
      <c r="A97" s="8">
        <v>86</v>
      </c>
      <c r="B97" s="9">
        <v>47150</v>
      </c>
      <c r="C97" s="5">
        <f t="shared" si="13"/>
        <v>0</v>
      </c>
      <c r="D97" s="12">
        <f t="shared" si="7"/>
        <v>0</v>
      </c>
      <c r="E97" s="3">
        <f t="shared" si="8"/>
        <v>0</v>
      </c>
      <c r="F97" s="3">
        <f t="shared" si="9"/>
        <v>0</v>
      </c>
      <c r="G97" s="5">
        <f t="shared" si="10"/>
        <v>0</v>
      </c>
      <c r="H97" s="5">
        <v>0</v>
      </c>
      <c r="I97" s="5">
        <f t="shared" si="11"/>
        <v>0</v>
      </c>
      <c r="J97" s="5">
        <f t="shared" si="12"/>
        <v>0</v>
      </c>
      <c r="K97" s="2"/>
    </row>
    <row r="98" spans="1:11" x14ac:dyDescent="0.25">
      <c r="A98" s="8">
        <v>87</v>
      </c>
      <c r="B98" s="9">
        <v>47178</v>
      </c>
      <c r="C98" s="5">
        <f t="shared" si="13"/>
        <v>0</v>
      </c>
      <c r="D98" s="12">
        <f t="shared" si="7"/>
        <v>0</v>
      </c>
      <c r="E98" s="3">
        <f t="shared" si="8"/>
        <v>0</v>
      </c>
      <c r="F98" s="3">
        <f t="shared" si="9"/>
        <v>0</v>
      </c>
      <c r="G98" s="5">
        <f t="shared" si="10"/>
        <v>0</v>
      </c>
      <c r="H98" s="5">
        <v>0</v>
      </c>
      <c r="I98" s="5">
        <f t="shared" si="11"/>
        <v>0</v>
      </c>
      <c r="J98" s="5">
        <f t="shared" si="12"/>
        <v>0</v>
      </c>
      <c r="K98" s="2"/>
    </row>
    <row r="99" spans="1:11" x14ac:dyDescent="0.25">
      <c r="A99" s="8">
        <v>88</v>
      </c>
      <c r="B99" s="9">
        <v>47209</v>
      </c>
      <c r="C99" s="5">
        <f t="shared" si="13"/>
        <v>0</v>
      </c>
      <c r="D99" s="12">
        <f t="shared" si="7"/>
        <v>0</v>
      </c>
      <c r="E99" s="3">
        <f t="shared" si="8"/>
        <v>0</v>
      </c>
      <c r="F99" s="3">
        <f t="shared" si="9"/>
        <v>0</v>
      </c>
      <c r="G99" s="5">
        <f t="shared" si="10"/>
        <v>0</v>
      </c>
      <c r="H99" s="5">
        <v>0</v>
      </c>
      <c r="I99" s="5">
        <f t="shared" si="11"/>
        <v>0</v>
      </c>
      <c r="J99" s="5">
        <f t="shared" si="12"/>
        <v>0</v>
      </c>
      <c r="K99" s="2"/>
    </row>
    <row r="100" spans="1:11" x14ac:dyDescent="0.25">
      <c r="A100" s="8">
        <v>89</v>
      </c>
      <c r="B100" s="9">
        <v>47239</v>
      </c>
      <c r="C100" s="5">
        <f t="shared" si="13"/>
        <v>0</v>
      </c>
      <c r="D100" s="12">
        <f t="shared" si="7"/>
        <v>0</v>
      </c>
      <c r="E100" s="3">
        <f t="shared" si="8"/>
        <v>0</v>
      </c>
      <c r="F100" s="3">
        <f t="shared" si="9"/>
        <v>0</v>
      </c>
      <c r="G100" s="5">
        <f t="shared" si="10"/>
        <v>0</v>
      </c>
      <c r="H100" s="5">
        <v>0</v>
      </c>
      <c r="I100" s="5">
        <f t="shared" si="11"/>
        <v>0</v>
      </c>
      <c r="J100" s="5">
        <f t="shared" si="12"/>
        <v>0</v>
      </c>
      <c r="K100" s="2"/>
    </row>
    <row r="101" spans="1:11" x14ac:dyDescent="0.25">
      <c r="A101" s="8">
        <v>90</v>
      </c>
      <c r="B101" s="9">
        <v>47270</v>
      </c>
      <c r="C101" s="5">
        <f t="shared" si="13"/>
        <v>0</v>
      </c>
      <c r="D101" s="12">
        <f t="shared" si="7"/>
        <v>0</v>
      </c>
      <c r="E101" s="3">
        <f t="shared" si="8"/>
        <v>0</v>
      </c>
      <c r="F101" s="3">
        <f t="shared" si="9"/>
        <v>0</v>
      </c>
      <c r="G101" s="5">
        <f t="shared" si="10"/>
        <v>0</v>
      </c>
      <c r="H101" s="5">
        <v>0</v>
      </c>
      <c r="I101" s="5">
        <f t="shared" si="11"/>
        <v>0</v>
      </c>
      <c r="J101" s="5">
        <f t="shared" si="12"/>
        <v>0</v>
      </c>
      <c r="K101" s="2"/>
    </row>
    <row r="102" spans="1:11" x14ac:dyDescent="0.25">
      <c r="A102" s="8">
        <v>91</v>
      </c>
      <c r="B102" s="9">
        <v>47300</v>
      </c>
      <c r="C102" s="5">
        <f t="shared" si="13"/>
        <v>0</v>
      </c>
      <c r="D102" s="12">
        <f t="shared" si="7"/>
        <v>0</v>
      </c>
      <c r="E102" s="3">
        <f t="shared" si="8"/>
        <v>0</v>
      </c>
      <c r="F102" s="3">
        <f t="shared" si="9"/>
        <v>0</v>
      </c>
      <c r="G102" s="5">
        <f t="shared" si="10"/>
        <v>0</v>
      </c>
      <c r="H102" s="5">
        <v>0</v>
      </c>
      <c r="I102" s="5">
        <f t="shared" si="11"/>
        <v>0</v>
      </c>
      <c r="J102" s="5">
        <f t="shared" si="12"/>
        <v>0</v>
      </c>
      <c r="K102" s="2"/>
    </row>
    <row r="103" spans="1:11" x14ac:dyDescent="0.25">
      <c r="A103" s="8">
        <v>92</v>
      </c>
      <c r="B103" s="9">
        <v>47331</v>
      </c>
      <c r="C103" s="5">
        <f t="shared" si="13"/>
        <v>0</v>
      </c>
      <c r="D103" s="12">
        <f t="shared" si="7"/>
        <v>0</v>
      </c>
      <c r="E103" s="3">
        <f t="shared" si="8"/>
        <v>0</v>
      </c>
      <c r="F103" s="3">
        <f t="shared" si="9"/>
        <v>0</v>
      </c>
      <c r="G103" s="5">
        <f t="shared" si="10"/>
        <v>0</v>
      </c>
      <c r="H103" s="5">
        <v>0</v>
      </c>
      <c r="I103" s="5">
        <f t="shared" si="11"/>
        <v>0</v>
      </c>
      <c r="J103" s="5">
        <f t="shared" si="12"/>
        <v>0</v>
      </c>
      <c r="K103" s="2"/>
    </row>
    <row r="104" spans="1:11" x14ac:dyDescent="0.25">
      <c r="A104" s="8">
        <v>93</v>
      </c>
      <c r="B104" s="9">
        <v>47362</v>
      </c>
      <c r="C104" s="5">
        <f t="shared" si="13"/>
        <v>0</v>
      </c>
      <c r="D104" s="12">
        <f t="shared" si="7"/>
        <v>0</v>
      </c>
      <c r="E104" s="3">
        <f t="shared" si="8"/>
        <v>0</v>
      </c>
      <c r="F104" s="3">
        <f t="shared" si="9"/>
        <v>0</v>
      </c>
      <c r="G104" s="5">
        <f t="shared" si="10"/>
        <v>0</v>
      </c>
      <c r="H104" s="5">
        <v>0</v>
      </c>
      <c r="I104" s="5">
        <f t="shared" si="11"/>
        <v>0</v>
      </c>
      <c r="J104" s="5">
        <f t="shared" si="12"/>
        <v>0</v>
      </c>
      <c r="K104" s="2"/>
    </row>
    <row r="105" spans="1:11" x14ac:dyDescent="0.25">
      <c r="A105" s="8">
        <v>94</v>
      </c>
      <c r="B105" s="9">
        <v>47392</v>
      </c>
      <c r="C105" s="5">
        <f t="shared" si="13"/>
        <v>0</v>
      </c>
      <c r="D105" s="12">
        <f t="shared" si="7"/>
        <v>0</v>
      </c>
      <c r="E105" s="3">
        <f t="shared" si="8"/>
        <v>0</v>
      </c>
      <c r="F105" s="3">
        <f t="shared" si="9"/>
        <v>0</v>
      </c>
      <c r="G105" s="5">
        <f t="shared" si="10"/>
        <v>0</v>
      </c>
      <c r="H105" s="5">
        <v>0</v>
      </c>
      <c r="I105" s="5">
        <f t="shared" si="11"/>
        <v>0</v>
      </c>
      <c r="J105" s="5">
        <f t="shared" si="12"/>
        <v>0</v>
      </c>
      <c r="K105" s="2"/>
    </row>
    <row r="106" spans="1:11" x14ac:dyDescent="0.25">
      <c r="A106" s="8">
        <v>95</v>
      </c>
      <c r="B106" s="9">
        <v>47423</v>
      </c>
      <c r="C106" s="5">
        <f t="shared" si="13"/>
        <v>0</v>
      </c>
      <c r="D106" s="12">
        <f t="shared" si="7"/>
        <v>0</v>
      </c>
      <c r="E106" s="3">
        <f t="shared" si="8"/>
        <v>0</v>
      </c>
      <c r="F106" s="3">
        <f t="shared" si="9"/>
        <v>0</v>
      </c>
      <c r="G106" s="5">
        <f t="shared" si="10"/>
        <v>0</v>
      </c>
      <c r="H106" s="5">
        <v>0</v>
      </c>
      <c r="I106" s="5">
        <f t="shared" si="11"/>
        <v>0</v>
      </c>
      <c r="J106" s="5">
        <f t="shared" si="12"/>
        <v>0</v>
      </c>
      <c r="K106" s="2"/>
    </row>
    <row r="107" spans="1:11" x14ac:dyDescent="0.25">
      <c r="A107" s="8">
        <v>96</v>
      </c>
      <c r="B107" s="9">
        <v>47453</v>
      </c>
      <c r="C107" s="5">
        <f t="shared" si="13"/>
        <v>0</v>
      </c>
      <c r="D107" s="12">
        <f t="shared" si="7"/>
        <v>0</v>
      </c>
      <c r="E107" s="3">
        <f t="shared" si="8"/>
        <v>0</v>
      </c>
      <c r="F107" s="3">
        <f t="shared" si="9"/>
        <v>0</v>
      </c>
      <c r="G107" s="5">
        <f t="shared" si="10"/>
        <v>0</v>
      </c>
      <c r="H107" s="5">
        <v>0</v>
      </c>
      <c r="I107" s="5">
        <f t="shared" si="11"/>
        <v>0</v>
      </c>
      <c r="J107" s="5">
        <f t="shared" si="12"/>
        <v>0</v>
      </c>
      <c r="K107" s="2"/>
    </row>
    <row r="108" spans="1:11" x14ac:dyDescent="0.25">
      <c r="A108" s="8">
        <v>97</v>
      </c>
      <c r="B108" s="9">
        <v>47484</v>
      </c>
      <c r="C108" s="5">
        <f t="shared" si="13"/>
        <v>0</v>
      </c>
      <c r="D108" s="12">
        <f t="shared" si="7"/>
        <v>0</v>
      </c>
      <c r="E108" s="3">
        <f t="shared" si="8"/>
        <v>0</v>
      </c>
      <c r="F108" s="3">
        <f t="shared" si="9"/>
        <v>0</v>
      </c>
      <c r="G108" s="5">
        <f t="shared" si="10"/>
        <v>0</v>
      </c>
      <c r="H108" s="5">
        <v>0</v>
      </c>
      <c r="I108" s="5">
        <f t="shared" si="11"/>
        <v>0</v>
      </c>
      <c r="J108" s="5">
        <f t="shared" si="12"/>
        <v>0</v>
      </c>
      <c r="K108" s="2"/>
    </row>
    <row r="109" spans="1:11" x14ac:dyDescent="0.25">
      <c r="A109" s="8">
        <v>98</v>
      </c>
      <c r="B109" s="9">
        <v>47515</v>
      </c>
      <c r="C109" s="5">
        <f t="shared" si="13"/>
        <v>0</v>
      </c>
      <c r="D109" s="12">
        <f t="shared" si="7"/>
        <v>0</v>
      </c>
      <c r="E109" s="3">
        <f t="shared" si="8"/>
        <v>0</v>
      </c>
      <c r="F109" s="3">
        <f t="shared" si="9"/>
        <v>0</v>
      </c>
      <c r="G109" s="5">
        <f t="shared" si="10"/>
        <v>0</v>
      </c>
      <c r="H109" s="5">
        <v>0</v>
      </c>
      <c r="I109" s="5">
        <f t="shared" si="11"/>
        <v>0</v>
      </c>
      <c r="J109" s="5">
        <f t="shared" si="12"/>
        <v>0</v>
      </c>
      <c r="K109" s="2"/>
    </row>
    <row r="110" spans="1:11" x14ac:dyDescent="0.25">
      <c r="A110" s="8">
        <v>99</v>
      </c>
      <c r="B110" s="9">
        <v>47543</v>
      </c>
      <c r="C110" s="5">
        <f t="shared" si="13"/>
        <v>0</v>
      </c>
      <c r="D110" s="12">
        <f t="shared" si="7"/>
        <v>0</v>
      </c>
      <c r="E110" s="3">
        <f t="shared" si="8"/>
        <v>0</v>
      </c>
      <c r="F110" s="3">
        <f t="shared" si="9"/>
        <v>0</v>
      </c>
      <c r="G110" s="5">
        <f t="shared" si="10"/>
        <v>0</v>
      </c>
      <c r="H110" s="5">
        <v>0</v>
      </c>
      <c r="I110" s="5">
        <f t="shared" si="11"/>
        <v>0</v>
      </c>
      <c r="J110" s="5">
        <f t="shared" si="12"/>
        <v>0</v>
      </c>
      <c r="K110" s="2"/>
    </row>
    <row r="111" spans="1:11" x14ac:dyDescent="0.25">
      <c r="A111" s="8">
        <v>100</v>
      </c>
      <c r="B111" s="9">
        <v>47574</v>
      </c>
      <c r="C111" s="5">
        <f t="shared" si="13"/>
        <v>0</v>
      </c>
      <c r="D111" s="12">
        <f t="shared" si="7"/>
        <v>0</v>
      </c>
      <c r="E111" s="3">
        <f t="shared" si="8"/>
        <v>0</v>
      </c>
      <c r="F111" s="3">
        <f t="shared" si="9"/>
        <v>0</v>
      </c>
      <c r="G111" s="5">
        <f t="shared" si="10"/>
        <v>0</v>
      </c>
      <c r="H111" s="5">
        <v>0</v>
      </c>
      <c r="I111" s="5">
        <f t="shared" si="11"/>
        <v>0</v>
      </c>
      <c r="J111" s="5">
        <f t="shared" si="12"/>
        <v>0</v>
      </c>
      <c r="K111" s="2"/>
    </row>
    <row r="112" spans="1:11" x14ac:dyDescent="0.25">
      <c r="A112" s="8">
        <v>101</v>
      </c>
      <c r="B112" s="9">
        <v>47604</v>
      </c>
      <c r="C112" s="5">
        <f t="shared" si="13"/>
        <v>0</v>
      </c>
      <c r="D112" s="12">
        <f t="shared" si="7"/>
        <v>0</v>
      </c>
      <c r="E112" s="3">
        <f t="shared" si="8"/>
        <v>0</v>
      </c>
      <c r="F112" s="3">
        <f t="shared" si="9"/>
        <v>0</v>
      </c>
      <c r="G112" s="5">
        <f t="shared" si="10"/>
        <v>0</v>
      </c>
      <c r="H112" s="5">
        <v>0</v>
      </c>
      <c r="I112" s="5">
        <f t="shared" si="11"/>
        <v>0</v>
      </c>
      <c r="J112" s="5">
        <f t="shared" si="12"/>
        <v>0</v>
      </c>
      <c r="K112" s="2"/>
    </row>
    <row r="113" spans="1:11" x14ac:dyDescent="0.25">
      <c r="A113" s="8">
        <v>102</v>
      </c>
      <c r="B113" s="9">
        <v>47635</v>
      </c>
      <c r="C113" s="5">
        <f t="shared" si="13"/>
        <v>0</v>
      </c>
      <c r="D113" s="12">
        <f t="shared" si="7"/>
        <v>0</v>
      </c>
      <c r="E113" s="3">
        <f t="shared" si="8"/>
        <v>0</v>
      </c>
      <c r="F113" s="3">
        <f t="shared" si="9"/>
        <v>0</v>
      </c>
      <c r="G113" s="5">
        <f t="shared" si="10"/>
        <v>0</v>
      </c>
      <c r="H113" s="5">
        <v>0</v>
      </c>
      <c r="I113" s="5">
        <f t="shared" si="11"/>
        <v>0</v>
      </c>
      <c r="J113" s="5">
        <f t="shared" si="12"/>
        <v>0</v>
      </c>
      <c r="K113" s="2"/>
    </row>
    <row r="114" spans="1:11" x14ac:dyDescent="0.25">
      <c r="A114" s="8">
        <v>103</v>
      </c>
      <c r="B114" s="9">
        <v>47665</v>
      </c>
      <c r="C114" s="5">
        <f t="shared" si="13"/>
        <v>0</v>
      </c>
      <c r="D114" s="12">
        <f t="shared" si="7"/>
        <v>0</v>
      </c>
      <c r="E114" s="3">
        <f t="shared" si="8"/>
        <v>0</v>
      </c>
      <c r="F114" s="3">
        <f t="shared" si="9"/>
        <v>0</v>
      </c>
      <c r="G114" s="5">
        <f t="shared" si="10"/>
        <v>0</v>
      </c>
      <c r="H114" s="5">
        <v>0</v>
      </c>
      <c r="I114" s="5">
        <f t="shared" si="11"/>
        <v>0</v>
      </c>
      <c r="J114" s="5">
        <f t="shared" si="12"/>
        <v>0</v>
      </c>
      <c r="K114" s="2"/>
    </row>
    <row r="115" spans="1:11" x14ac:dyDescent="0.25">
      <c r="A115" s="8">
        <v>104</v>
      </c>
      <c r="B115" s="9">
        <v>47696</v>
      </c>
      <c r="C115" s="5">
        <f t="shared" si="13"/>
        <v>0</v>
      </c>
      <c r="D115" s="12">
        <f t="shared" si="7"/>
        <v>0</v>
      </c>
      <c r="E115" s="3">
        <f t="shared" si="8"/>
        <v>0</v>
      </c>
      <c r="F115" s="3">
        <f t="shared" si="9"/>
        <v>0</v>
      </c>
      <c r="G115" s="5">
        <f t="shared" si="10"/>
        <v>0</v>
      </c>
      <c r="H115" s="5">
        <v>0</v>
      </c>
      <c r="I115" s="5">
        <f t="shared" si="11"/>
        <v>0</v>
      </c>
      <c r="J115" s="5">
        <f t="shared" si="12"/>
        <v>0</v>
      </c>
      <c r="K115" s="2"/>
    </row>
    <row r="116" spans="1:11" x14ac:dyDescent="0.25">
      <c r="A116" s="8">
        <v>105</v>
      </c>
      <c r="B116" s="9">
        <v>47727</v>
      </c>
      <c r="C116" s="5">
        <f t="shared" si="13"/>
        <v>0</v>
      </c>
      <c r="D116" s="12">
        <f t="shared" si="7"/>
        <v>0</v>
      </c>
      <c r="E116" s="3">
        <f t="shared" si="8"/>
        <v>0</v>
      </c>
      <c r="F116" s="3">
        <f t="shared" si="9"/>
        <v>0</v>
      </c>
      <c r="G116" s="5">
        <f t="shared" si="10"/>
        <v>0</v>
      </c>
      <c r="H116" s="5">
        <v>0</v>
      </c>
      <c r="I116" s="5">
        <f t="shared" si="11"/>
        <v>0</v>
      </c>
      <c r="J116" s="5">
        <f t="shared" si="12"/>
        <v>0</v>
      </c>
      <c r="K116" s="2"/>
    </row>
    <row r="117" spans="1:11" x14ac:dyDescent="0.25">
      <c r="A117" s="8">
        <v>106</v>
      </c>
      <c r="B117" s="9">
        <v>47757</v>
      </c>
      <c r="C117" s="5">
        <f t="shared" si="13"/>
        <v>0</v>
      </c>
      <c r="D117" s="12">
        <f t="shared" si="7"/>
        <v>0</v>
      </c>
      <c r="E117" s="3">
        <f t="shared" si="8"/>
        <v>0</v>
      </c>
      <c r="F117" s="3">
        <f t="shared" si="9"/>
        <v>0</v>
      </c>
      <c r="G117" s="5">
        <f t="shared" si="10"/>
        <v>0</v>
      </c>
      <c r="H117" s="5">
        <v>0</v>
      </c>
      <c r="I117" s="5">
        <f t="shared" si="11"/>
        <v>0</v>
      </c>
      <c r="J117" s="5">
        <f t="shared" si="12"/>
        <v>0</v>
      </c>
      <c r="K117" s="2"/>
    </row>
    <row r="118" spans="1:11" x14ac:dyDescent="0.25">
      <c r="A118" s="8">
        <v>107</v>
      </c>
      <c r="B118" s="9">
        <v>47788</v>
      </c>
      <c r="C118" s="5">
        <f t="shared" si="13"/>
        <v>0</v>
      </c>
      <c r="D118" s="12">
        <f t="shared" si="7"/>
        <v>0</v>
      </c>
      <c r="E118" s="3">
        <f t="shared" si="8"/>
        <v>0</v>
      </c>
      <c r="F118" s="3">
        <f t="shared" si="9"/>
        <v>0</v>
      </c>
      <c r="G118" s="5">
        <f t="shared" si="10"/>
        <v>0</v>
      </c>
      <c r="H118" s="5">
        <v>0</v>
      </c>
      <c r="I118" s="5">
        <f t="shared" si="11"/>
        <v>0</v>
      </c>
      <c r="J118" s="5">
        <f t="shared" si="12"/>
        <v>0</v>
      </c>
      <c r="K118" s="2"/>
    </row>
    <row r="119" spans="1:11" x14ac:dyDescent="0.25">
      <c r="A119" s="8">
        <v>108</v>
      </c>
      <c r="B119" s="9">
        <v>47818</v>
      </c>
      <c r="C119" s="5">
        <f t="shared" si="13"/>
        <v>0</v>
      </c>
      <c r="D119" s="12">
        <f t="shared" si="7"/>
        <v>0</v>
      </c>
      <c r="E119" s="3">
        <f t="shared" si="8"/>
        <v>0</v>
      </c>
      <c r="F119" s="3">
        <f t="shared" si="9"/>
        <v>0</v>
      </c>
      <c r="G119" s="5">
        <f t="shared" si="10"/>
        <v>0</v>
      </c>
      <c r="H119" s="5">
        <v>0</v>
      </c>
      <c r="I119" s="5">
        <f t="shared" si="11"/>
        <v>0</v>
      </c>
      <c r="J119" s="5">
        <f t="shared" si="12"/>
        <v>0</v>
      </c>
      <c r="K119" s="2"/>
    </row>
    <row r="120" spans="1:11" x14ac:dyDescent="0.25">
      <c r="A120" s="8">
        <v>109</v>
      </c>
      <c r="B120" s="9">
        <v>47849</v>
      </c>
      <c r="C120" s="5">
        <f t="shared" si="13"/>
        <v>0</v>
      </c>
      <c r="D120" s="12">
        <f t="shared" si="7"/>
        <v>0</v>
      </c>
      <c r="E120" s="3">
        <f t="shared" si="8"/>
        <v>0</v>
      </c>
      <c r="F120" s="3">
        <f t="shared" si="9"/>
        <v>0</v>
      </c>
      <c r="G120" s="5">
        <f t="shared" si="10"/>
        <v>0</v>
      </c>
      <c r="H120" s="5">
        <v>0</v>
      </c>
      <c r="I120" s="5">
        <f t="shared" si="11"/>
        <v>0</v>
      </c>
      <c r="J120" s="5">
        <f t="shared" si="12"/>
        <v>0</v>
      </c>
      <c r="K120" s="2"/>
    </row>
    <row r="121" spans="1:11" x14ac:dyDescent="0.25">
      <c r="A121" s="8">
        <v>110</v>
      </c>
      <c r="B121" s="9">
        <v>47880</v>
      </c>
      <c r="C121" s="5">
        <f t="shared" si="13"/>
        <v>0</v>
      </c>
      <c r="D121" s="12">
        <f t="shared" si="7"/>
        <v>0</v>
      </c>
      <c r="E121" s="3">
        <f t="shared" si="8"/>
        <v>0</v>
      </c>
      <c r="F121" s="3">
        <f t="shared" si="9"/>
        <v>0</v>
      </c>
      <c r="G121" s="5">
        <f t="shared" si="10"/>
        <v>0</v>
      </c>
      <c r="H121" s="5">
        <v>0</v>
      </c>
      <c r="I121" s="5">
        <f t="shared" si="11"/>
        <v>0</v>
      </c>
      <c r="J121" s="5">
        <f t="shared" si="12"/>
        <v>0</v>
      </c>
      <c r="K121" s="2"/>
    </row>
    <row r="122" spans="1:11" x14ac:dyDescent="0.25">
      <c r="A122" s="8">
        <v>111</v>
      </c>
      <c r="B122" s="9">
        <v>47908</v>
      </c>
      <c r="C122" s="5">
        <f t="shared" si="13"/>
        <v>0</v>
      </c>
      <c r="D122" s="12">
        <f t="shared" si="7"/>
        <v>0</v>
      </c>
      <c r="E122" s="3">
        <f t="shared" si="8"/>
        <v>0</v>
      </c>
      <c r="F122" s="3">
        <f t="shared" si="9"/>
        <v>0</v>
      </c>
      <c r="G122" s="5">
        <f t="shared" si="10"/>
        <v>0</v>
      </c>
      <c r="H122" s="5">
        <v>0</v>
      </c>
      <c r="I122" s="5">
        <f t="shared" si="11"/>
        <v>0</v>
      </c>
      <c r="J122" s="5">
        <f t="shared" si="12"/>
        <v>0</v>
      </c>
      <c r="K122" s="2"/>
    </row>
    <row r="123" spans="1:11" x14ac:dyDescent="0.25">
      <c r="A123" s="8">
        <v>112</v>
      </c>
      <c r="B123" s="9">
        <v>47939</v>
      </c>
      <c r="C123" s="5">
        <f t="shared" si="13"/>
        <v>0</v>
      </c>
      <c r="D123" s="12">
        <f t="shared" si="7"/>
        <v>0</v>
      </c>
      <c r="E123" s="3">
        <f t="shared" si="8"/>
        <v>0</v>
      </c>
      <c r="F123" s="3">
        <f t="shared" si="9"/>
        <v>0</v>
      </c>
      <c r="G123" s="5">
        <f t="shared" si="10"/>
        <v>0</v>
      </c>
      <c r="H123" s="5">
        <v>0</v>
      </c>
      <c r="I123" s="5">
        <f t="shared" si="11"/>
        <v>0</v>
      </c>
      <c r="J123" s="5">
        <f t="shared" si="12"/>
        <v>0</v>
      </c>
      <c r="K123" s="2"/>
    </row>
    <row r="124" spans="1:11" x14ac:dyDescent="0.25">
      <c r="A124" s="8">
        <v>113</v>
      </c>
      <c r="B124" s="9">
        <v>47969</v>
      </c>
      <c r="C124" s="5">
        <f t="shared" si="13"/>
        <v>0</v>
      </c>
      <c r="D124" s="12">
        <f t="shared" si="7"/>
        <v>0</v>
      </c>
      <c r="E124" s="3">
        <f t="shared" si="8"/>
        <v>0</v>
      </c>
      <c r="F124" s="3">
        <f t="shared" si="9"/>
        <v>0</v>
      </c>
      <c r="G124" s="5">
        <f t="shared" si="10"/>
        <v>0</v>
      </c>
      <c r="H124" s="5">
        <v>0</v>
      </c>
      <c r="I124" s="5">
        <f t="shared" si="11"/>
        <v>0</v>
      </c>
      <c r="J124" s="5">
        <f t="shared" si="12"/>
        <v>0</v>
      </c>
      <c r="K124" s="2"/>
    </row>
    <row r="125" spans="1:11" x14ac:dyDescent="0.25">
      <c r="A125" s="8">
        <v>114</v>
      </c>
      <c r="B125" s="9">
        <v>48000</v>
      </c>
      <c r="C125" s="5">
        <f t="shared" si="13"/>
        <v>0</v>
      </c>
      <c r="D125" s="12">
        <f t="shared" si="7"/>
        <v>0</v>
      </c>
      <c r="E125" s="3">
        <f t="shared" si="8"/>
        <v>0</v>
      </c>
      <c r="F125" s="3">
        <f t="shared" si="9"/>
        <v>0</v>
      </c>
      <c r="G125" s="5">
        <f t="shared" si="10"/>
        <v>0</v>
      </c>
      <c r="H125" s="5">
        <v>0</v>
      </c>
      <c r="I125" s="5">
        <f t="shared" si="11"/>
        <v>0</v>
      </c>
      <c r="J125" s="5">
        <f t="shared" si="12"/>
        <v>0</v>
      </c>
      <c r="K125" s="2"/>
    </row>
    <row r="126" spans="1:11" x14ac:dyDescent="0.25">
      <c r="A126" s="8">
        <v>115</v>
      </c>
      <c r="B126" s="9">
        <v>48030</v>
      </c>
      <c r="C126" s="5">
        <f t="shared" si="13"/>
        <v>0</v>
      </c>
      <c r="D126" s="12">
        <f t="shared" si="7"/>
        <v>0</v>
      </c>
      <c r="E126" s="3">
        <f t="shared" si="8"/>
        <v>0</v>
      </c>
      <c r="F126" s="3">
        <f t="shared" si="9"/>
        <v>0</v>
      </c>
      <c r="G126" s="5">
        <f t="shared" si="10"/>
        <v>0</v>
      </c>
      <c r="H126" s="5">
        <v>0</v>
      </c>
      <c r="I126" s="5">
        <f t="shared" si="11"/>
        <v>0</v>
      </c>
      <c r="J126" s="5">
        <f t="shared" si="12"/>
        <v>0</v>
      </c>
      <c r="K126" s="2"/>
    </row>
    <row r="127" spans="1:11" x14ac:dyDescent="0.25">
      <c r="A127" s="8">
        <v>116</v>
      </c>
      <c r="B127" s="9">
        <v>48061</v>
      </c>
      <c r="C127" s="5">
        <f t="shared" si="13"/>
        <v>0</v>
      </c>
      <c r="D127" s="12">
        <f t="shared" si="7"/>
        <v>0</v>
      </c>
      <c r="E127" s="3">
        <f t="shared" si="8"/>
        <v>0</v>
      </c>
      <c r="F127" s="3">
        <f t="shared" si="9"/>
        <v>0</v>
      </c>
      <c r="G127" s="5">
        <f t="shared" si="10"/>
        <v>0</v>
      </c>
      <c r="H127" s="5">
        <v>0</v>
      </c>
      <c r="I127" s="5">
        <f t="shared" si="11"/>
        <v>0</v>
      </c>
      <c r="J127" s="5">
        <f t="shared" si="12"/>
        <v>0</v>
      </c>
      <c r="K127" s="2"/>
    </row>
    <row r="128" spans="1:11" x14ac:dyDescent="0.25">
      <c r="A128" s="8">
        <v>117</v>
      </c>
      <c r="B128" s="9">
        <v>48092</v>
      </c>
      <c r="C128" s="5">
        <f t="shared" si="13"/>
        <v>0</v>
      </c>
      <c r="D128" s="12">
        <f t="shared" si="7"/>
        <v>0</v>
      </c>
      <c r="E128" s="3">
        <f t="shared" si="8"/>
        <v>0</v>
      </c>
      <c r="F128" s="3">
        <f t="shared" si="9"/>
        <v>0</v>
      </c>
      <c r="G128" s="5">
        <f t="shared" si="10"/>
        <v>0</v>
      </c>
      <c r="H128" s="5">
        <v>0</v>
      </c>
      <c r="I128" s="5">
        <f t="shared" si="11"/>
        <v>0</v>
      </c>
      <c r="J128" s="5">
        <f t="shared" si="12"/>
        <v>0</v>
      </c>
      <c r="K128" s="2"/>
    </row>
    <row r="129" spans="1:11" x14ac:dyDescent="0.25">
      <c r="A129" s="8">
        <v>118</v>
      </c>
      <c r="B129" s="9">
        <v>48122</v>
      </c>
      <c r="C129" s="5">
        <f t="shared" si="13"/>
        <v>0</v>
      </c>
      <c r="D129" s="12">
        <f t="shared" si="7"/>
        <v>0</v>
      </c>
      <c r="E129" s="3">
        <f t="shared" si="8"/>
        <v>0</v>
      </c>
      <c r="F129" s="3">
        <f t="shared" si="9"/>
        <v>0</v>
      </c>
      <c r="G129" s="5">
        <f t="shared" si="10"/>
        <v>0</v>
      </c>
      <c r="H129" s="5">
        <v>0</v>
      </c>
      <c r="I129" s="5">
        <f t="shared" si="11"/>
        <v>0</v>
      </c>
      <c r="J129" s="5">
        <f t="shared" si="12"/>
        <v>0</v>
      </c>
      <c r="K129" s="2"/>
    </row>
    <row r="130" spans="1:11" x14ac:dyDescent="0.25">
      <c r="A130" s="8">
        <v>119</v>
      </c>
      <c r="B130" s="9">
        <v>48153</v>
      </c>
      <c r="C130" s="5">
        <f t="shared" si="13"/>
        <v>0</v>
      </c>
      <c r="D130" s="12">
        <f t="shared" si="7"/>
        <v>0</v>
      </c>
      <c r="E130" s="3">
        <f t="shared" si="8"/>
        <v>0</v>
      </c>
      <c r="F130" s="3">
        <f t="shared" si="9"/>
        <v>0</v>
      </c>
      <c r="G130" s="5">
        <f t="shared" si="10"/>
        <v>0</v>
      </c>
      <c r="H130" s="5">
        <v>0</v>
      </c>
      <c r="I130" s="5">
        <f t="shared" si="11"/>
        <v>0</v>
      </c>
      <c r="J130" s="5">
        <f t="shared" si="12"/>
        <v>0</v>
      </c>
      <c r="K130" s="2"/>
    </row>
    <row r="131" spans="1:11" x14ac:dyDescent="0.25">
      <c r="A131" s="8">
        <v>120</v>
      </c>
      <c r="B131" s="9">
        <v>48183</v>
      </c>
      <c r="C131" s="5">
        <f t="shared" si="13"/>
        <v>0</v>
      </c>
      <c r="D131" s="12">
        <f t="shared" si="7"/>
        <v>0</v>
      </c>
      <c r="E131" s="3">
        <f t="shared" si="8"/>
        <v>0</v>
      </c>
      <c r="F131" s="3">
        <f t="shared" si="9"/>
        <v>0</v>
      </c>
      <c r="G131" s="5">
        <f t="shared" si="10"/>
        <v>0</v>
      </c>
      <c r="H131" s="5">
        <v>0</v>
      </c>
      <c r="I131" s="5">
        <f t="shared" si="11"/>
        <v>0</v>
      </c>
      <c r="J131" s="5">
        <f t="shared" si="12"/>
        <v>0</v>
      </c>
      <c r="K131" s="2"/>
    </row>
    <row r="132" spans="1:11" x14ac:dyDescent="0.25">
      <c r="A132" s="8">
        <v>121</v>
      </c>
      <c r="B132" s="9">
        <v>48214</v>
      </c>
      <c r="C132" s="5">
        <f t="shared" si="13"/>
        <v>0</v>
      </c>
      <c r="D132" s="12">
        <f t="shared" si="7"/>
        <v>0</v>
      </c>
      <c r="E132" s="3">
        <f t="shared" si="8"/>
        <v>0</v>
      </c>
      <c r="F132" s="3">
        <f t="shared" si="9"/>
        <v>0</v>
      </c>
      <c r="G132" s="5">
        <f t="shared" si="10"/>
        <v>0</v>
      </c>
      <c r="H132" s="5">
        <v>0</v>
      </c>
      <c r="I132" s="5">
        <f t="shared" si="11"/>
        <v>0</v>
      </c>
      <c r="J132" s="5">
        <f t="shared" si="12"/>
        <v>0</v>
      </c>
      <c r="K132" s="2"/>
    </row>
    <row r="133" spans="1:11" x14ac:dyDescent="0.25">
      <c r="A133" s="8">
        <v>122</v>
      </c>
      <c r="B133" s="9">
        <v>48245</v>
      </c>
      <c r="C133" s="5">
        <f t="shared" si="13"/>
        <v>0</v>
      </c>
      <c r="D133" s="12">
        <f t="shared" si="7"/>
        <v>0</v>
      </c>
      <c r="E133" s="3">
        <f t="shared" si="8"/>
        <v>0</v>
      </c>
      <c r="F133" s="3">
        <f t="shared" si="9"/>
        <v>0</v>
      </c>
      <c r="G133" s="5">
        <f t="shared" si="10"/>
        <v>0</v>
      </c>
      <c r="H133" s="5">
        <v>0</v>
      </c>
      <c r="I133" s="5">
        <f t="shared" si="11"/>
        <v>0</v>
      </c>
      <c r="J133" s="5">
        <f t="shared" si="12"/>
        <v>0</v>
      </c>
      <c r="K133" s="2"/>
    </row>
    <row r="134" spans="1:11" x14ac:dyDescent="0.25">
      <c r="A134" s="8">
        <v>123</v>
      </c>
      <c r="B134" s="9">
        <v>48274</v>
      </c>
      <c r="C134" s="5">
        <f t="shared" si="13"/>
        <v>0</v>
      </c>
      <c r="D134" s="12">
        <f t="shared" si="7"/>
        <v>0</v>
      </c>
      <c r="E134" s="3">
        <f t="shared" si="8"/>
        <v>0</v>
      </c>
      <c r="F134" s="3">
        <f t="shared" si="9"/>
        <v>0</v>
      </c>
      <c r="G134" s="5">
        <f t="shared" si="10"/>
        <v>0</v>
      </c>
      <c r="H134" s="5">
        <v>0</v>
      </c>
      <c r="I134" s="5">
        <f t="shared" si="11"/>
        <v>0</v>
      </c>
      <c r="J134" s="5">
        <f t="shared" si="12"/>
        <v>0</v>
      </c>
      <c r="K134" s="2"/>
    </row>
    <row r="135" spans="1:11" x14ac:dyDescent="0.25">
      <c r="A135" s="8">
        <v>124</v>
      </c>
      <c r="B135" s="9">
        <v>48305</v>
      </c>
      <c r="C135" s="5">
        <f t="shared" si="13"/>
        <v>0</v>
      </c>
      <c r="D135" s="12">
        <f t="shared" si="7"/>
        <v>0</v>
      </c>
      <c r="E135" s="3">
        <f t="shared" si="8"/>
        <v>0</v>
      </c>
      <c r="F135" s="3">
        <f t="shared" si="9"/>
        <v>0</v>
      </c>
      <c r="G135" s="5">
        <f t="shared" si="10"/>
        <v>0</v>
      </c>
      <c r="H135" s="5">
        <v>0</v>
      </c>
      <c r="I135" s="5">
        <f t="shared" si="11"/>
        <v>0</v>
      </c>
      <c r="J135" s="5">
        <f t="shared" si="12"/>
        <v>0</v>
      </c>
      <c r="K135" s="2"/>
    </row>
    <row r="136" spans="1:11" x14ac:dyDescent="0.25">
      <c r="A136" s="8">
        <v>125</v>
      </c>
      <c r="B136" s="9">
        <v>48335</v>
      </c>
      <c r="C136" s="5">
        <f t="shared" si="13"/>
        <v>0</v>
      </c>
      <c r="D136" s="12">
        <f t="shared" si="7"/>
        <v>0</v>
      </c>
      <c r="E136" s="3">
        <f t="shared" si="8"/>
        <v>0</v>
      </c>
      <c r="F136" s="3">
        <f t="shared" si="9"/>
        <v>0</v>
      </c>
      <c r="G136" s="5">
        <f t="shared" si="10"/>
        <v>0</v>
      </c>
      <c r="H136" s="5">
        <v>0</v>
      </c>
      <c r="I136" s="5">
        <f t="shared" si="11"/>
        <v>0</v>
      </c>
      <c r="J136" s="5">
        <f t="shared" si="12"/>
        <v>0</v>
      </c>
      <c r="K136" s="2"/>
    </row>
    <row r="137" spans="1:11" x14ac:dyDescent="0.25">
      <c r="A137" s="8">
        <v>126</v>
      </c>
      <c r="B137" s="9">
        <v>48366</v>
      </c>
      <c r="C137" s="5">
        <f t="shared" si="13"/>
        <v>0</v>
      </c>
      <c r="D137" s="12">
        <f t="shared" si="7"/>
        <v>0</v>
      </c>
      <c r="E137" s="3">
        <f t="shared" si="8"/>
        <v>0</v>
      </c>
      <c r="F137" s="3">
        <f t="shared" si="9"/>
        <v>0</v>
      </c>
      <c r="G137" s="5">
        <f t="shared" si="10"/>
        <v>0</v>
      </c>
      <c r="H137" s="5">
        <v>0</v>
      </c>
      <c r="I137" s="5">
        <f t="shared" si="11"/>
        <v>0</v>
      </c>
      <c r="J137" s="5">
        <f t="shared" si="12"/>
        <v>0</v>
      </c>
      <c r="K137" s="2"/>
    </row>
    <row r="138" spans="1:11" x14ac:dyDescent="0.25">
      <c r="A138" s="8">
        <v>127</v>
      </c>
      <c r="B138" s="9">
        <v>48396</v>
      </c>
      <c r="C138" s="5">
        <f t="shared" si="13"/>
        <v>0</v>
      </c>
      <c r="D138" s="12">
        <f t="shared" si="7"/>
        <v>0</v>
      </c>
      <c r="E138" s="3">
        <f t="shared" si="8"/>
        <v>0</v>
      </c>
      <c r="F138" s="3">
        <f t="shared" si="9"/>
        <v>0</v>
      </c>
      <c r="G138" s="5">
        <f t="shared" si="10"/>
        <v>0</v>
      </c>
      <c r="H138" s="5">
        <v>0</v>
      </c>
      <c r="I138" s="5">
        <f t="shared" si="11"/>
        <v>0</v>
      </c>
      <c r="J138" s="5">
        <f t="shared" si="12"/>
        <v>0</v>
      </c>
      <c r="K138" s="2"/>
    </row>
    <row r="139" spans="1:11" x14ac:dyDescent="0.25">
      <c r="A139" s="8">
        <v>128</v>
      </c>
      <c r="B139" s="9">
        <v>48427</v>
      </c>
      <c r="C139" s="5">
        <f t="shared" si="13"/>
        <v>0</v>
      </c>
      <c r="D139" s="12">
        <f t="shared" si="7"/>
        <v>0</v>
      </c>
      <c r="E139" s="3">
        <f t="shared" si="8"/>
        <v>0</v>
      </c>
      <c r="F139" s="3">
        <f t="shared" si="9"/>
        <v>0</v>
      </c>
      <c r="G139" s="5">
        <f t="shared" si="10"/>
        <v>0</v>
      </c>
      <c r="H139" s="5">
        <v>0</v>
      </c>
      <c r="I139" s="5">
        <f t="shared" si="11"/>
        <v>0</v>
      </c>
      <c r="J139" s="5">
        <f t="shared" si="12"/>
        <v>0</v>
      </c>
      <c r="K139" s="2"/>
    </row>
    <row r="140" spans="1:11" x14ac:dyDescent="0.25">
      <c r="A140" s="8">
        <v>129</v>
      </c>
      <c r="B140" s="9">
        <v>48458</v>
      </c>
      <c r="C140" s="5">
        <f t="shared" si="13"/>
        <v>0</v>
      </c>
      <c r="D140" s="12">
        <f t="shared" si="7"/>
        <v>0</v>
      </c>
      <c r="E140" s="3">
        <f t="shared" si="8"/>
        <v>0</v>
      </c>
      <c r="F140" s="3">
        <f t="shared" si="9"/>
        <v>0</v>
      </c>
      <c r="G140" s="5">
        <f t="shared" si="10"/>
        <v>0</v>
      </c>
      <c r="H140" s="5">
        <v>0</v>
      </c>
      <c r="I140" s="5">
        <f t="shared" si="11"/>
        <v>0</v>
      </c>
      <c r="J140" s="5">
        <f t="shared" si="12"/>
        <v>0</v>
      </c>
      <c r="K140" s="2"/>
    </row>
    <row r="141" spans="1:11" x14ac:dyDescent="0.25">
      <c r="A141" s="8">
        <v>130</v>
      </c>
      <c r="B141" s="9">
        <v>48488</v>
      </c>
      <c r="C141" s="5">
        <f t="shared" si="13"/>
        <v>0</v>
      </c>
      <c r="D141" s="12">
        <f t="shared" ref="D141:D204" si="14">C141*$C$6</f>
        <v>0</v>
      </c>
      <c r="E141" s="3">
        <f t="shared" ref="E141:E204" si="15">C141+D141</f>
        <v>0</v>
      </c>
      <c r="F141" s="3">
        <f t="shared" ref="F141:F204" si="16">IF(C141&gt;0,$C$4/$C$8,0)</f>
        <v>0</v>
      </c>
      <c r="G141" s="5">
        <f t="shared" ref="G141:G204" si="17">IF(C141&gt;0,F141+D141,0)</f>
        <v>0</v>
      </c>
      <c r="H141" s="5">
        <v>0</v>
      </c>
      <c r="I141" s="5">
        <f t="shared" ref="I141:I204" si="18">IF(C141&gt;0,H141+G141,0)</f>
        <v>0</v>
      </c>
      <c r="J141" s="5">
        <f t="shared" ref="J141:J204" si="19">IF(E141-I141&gt;0,ROUND(E141-I141,2),0)</f>
        <v>0</v>
      </c>
      <c r="K141" s="2"/>
    </row>
    <row r="142" spans="1:11" x14ac:dyDescent="0.25">
      <c r="A142" s="8">
        <v>131</v>
      </c>
      <c r="B142" s="9">
        <v>48519</v>
      </c>
      <c r="C142" s="5">
        <f t="shared" ref="C142:C205" si="20">IF(J141&gt;0,J141,0)</f>
        <v>0</v>
      </c>
      <c r="D142" s="12">
        <f t="shared" si="14"/>
        <v>0</v>
      </c>
      <c r="E142" s="3">
        <f t="shared" si="15"/>
        <v>0</v>
      </c>
      <c r="F142" s="3">
        <f t="shared" si="16"/>
        <v>0</v>
      </c>
      <c r="G142" s="5">
        <f t="shared" si="17"/>
        <v>0</v>
      </c>
      <c r="H142" s="5">
        <v>0</v>
      </c>
      <c r="I142" s="5">
        <f t="shared" si="18"/>
        <v>0</v>
      </c>
      <c r="J142" s="5">
        <f t="shared" si="19"/>
        <v>0</v>
      </c>
      <c r="K142" s="2"/>
    </row>
    <row r="143" spans="1:11" x14ac:dyDescent="0.25">
      <c r="A143" s="8">
        <v>132</v>
      </c>
      <c r="B143" s="9">
        <v>48549</v>
      </c>
      <c r="C143" s="5">
        <f t="shared" si="20"/>
        <v>0</v>
      </c>
      <c r="D143" s="12">
        <f t="shared" si="14"/>
        <v>0</v>
      </c>
      <c r="E143" s="3">
        <f t="shared" si="15"/>
        <v>0</v>
      </c>
      <c r="F143" s="3">
        <f t="shared" si="16"/>
        <v>0</v>
      </c>
      <c r="G143" s="5">
        <f t="shared" si="17"/>
        <v>0</v>
      </c>
      <c r="H143" s="5">
        <v>0</v>
      </c>
      <c r="I143" s="5">
        <f t="shared" si="18"/>
        <v>0</v>
      </c>
      <c r="J143" s="5">
        <f t="shared" si="19"/>
        <v>0</v>
      </c>
      <c r="K143" s="2"/>
    </row>
    <row r="144" spans="1:11" x14ac:dyDescent="0.25">
      <c r="A144" s="8">
        <v>133</v>
      </c>
      <c r="B144" s="9">
        <v>48580</v>
      </c>
      <c r="C144" s="5">
        <f t="shared" si="20"/>
        <v>0</v>
      </c>
      <c r="D144" s="12">
        <f t="shared" si="14"/>
        <v>0</v>
      </c>
      <c r="E144" s="3">
        <f t="shared" si="15"/>
        <v>0</v>
      </c>
      <c r="F144" s="3">
        <f t="shared" si="16"/>
        <v>0</v>
      </c>
      <c r="G144" s="5">
        <f t="shared" si="17"/>
        <v>0</v>
      </c>
      <c r="H144" s="5">
        <v>0</v>
      </c>
      <c r="I144" s="5">
        <f t="shared" si="18"/>
        <v>0</v>
      </c>
      <c r="J144" s="5">
        <f t="shared" si="19"/>
        <v>0</v>
      </c>
      <c r="K144" s="2"/>
    </row>
    <row r="145" spans="1:11" x14ac:dyDescent="0.25">
      <c r="A145" s="8">
        <v>134</v>
      </c>
      <c r="B145" s="9">
        <v>48611</v>
      </c>
      <c r="C145" s="5">
        <f t="shared" si="20"/>
        <v>0</v>
      </c>
      <c r="D145" s="12">
        <f t="shared" si="14"/>
        <v>0</v>
      </c>
      <c r="E145" s="3">
        <f t="shared" si="15"/>
        <v>0</v>
      </c>
      <c r="F145" s="3">
        <f t="shared" si="16"/>
        <v>0</v>
      </c>
      <c r="G145" s="5">
        <f t="shared" si="17"/>
        <v>0</v>
      </c>
      <c r="H145" s="5">
        <v>0</v>
      </c>
      <c r="I145" s="5">
        <f t="shared" si="18"/>
        <v>0</v>
      </c>
      <c r="J145" s="5">
        <f t="shared" si="19"/>
        <v>0</v>
      </c>
      <c r="K145" s="2"/>
    </row>
    <row r="146" spans="1:11" x14ac:dyDescent="0.25">
      <c r="A146" s="8">
        <v>135</v>
      </c>
      <c r="B146" s="9">
        <v>48639</v>
      </c>
      <c r="C146" s="5">
        <f t="shared" si="20"/>
        <v>0</v>
      </c>
      <c r="D146" s="12">
        <f t="shared" si="14"/>
        <v>0</v>
      </c>
      <c r="E146" s="3">
        <f t="shared" si="15"/>
        <v>0</v>
      </c>
      <c r="F146" s="3">
        <f t="shared" si="16"/>
        <v>0</v>
      </c>
      <c r="G146" s="5">
        <f t="shared" si="17"/>
        <v>0</v>
      </c>
      <c r="H146" s="5">
        <v>0</v>
      </c>
      <c r="I146" s="5">
        <f t="shared" si="18"/>
        <v>0</v>
      </c>
      <c r="J146" s="5">
        <f t="shared" si="19"/>
        <v>0</v>
      </c>
      <c r="K146" s="2"/>
    </row>
    <row r="147" spans="1:11" x14ac:dyDescent="0.25">
      <c r="A147" s="8">
        <v>136</v>
      </c>
      <c r="B147" s="9">
        <v>48670</v>
      </c>
      <c r="C147" s="5">
        <f t="shared" si="20"/>
        <v>0</v>
      </c>
      <c r="D147" s="12">
        <f t="shared" si="14"/>
        <v>0</v>
      </c>
      <c r="E147" s="3">
        <f t="shared" si="15"/>
        <v>0</v>
      </c>
      <c r="F147" s="3">
        <f t="shared" si="16"/>
        <v>0</v>
      </c>
      <c r="G147" s="5">
        <f t="shared" si="17"/>
        <v>0</v>
      </c>
      <c r="H147" s="5">
        <v>0</v>
      </c>
      <c r="I147" s="5">
        <f t="shared" si="18"/>
        <v>0</v>
      </c>
      <c r="J147" s="5">
        <f t="shared" si="19"/>
        <v>0</v>
      </c>
      <c r="K147" s="2"/>
    </row>
    <row r="148" spans="1:11" x14ac:dyDescent="0.25">
      <c r="A148" s="8">
        <v>137</v>
      </c>
      <c r="B148" s="9">
        <v>48700</v>
      </c>
      <c r="C148" s="5">
        <f t="shared" si="20"/>
        <v>0</v>
      </c>
      <c r="D148" s="12">
        <f t="shared" si="14"/>
        <v>0</v>
      </c>
      <c r="E148" s="3">
        <f t="shared" si="15"/>
        <v>0</v>
      </c>
      <c r="F148" s="3">
        <f t="shared" si="16"/>
        <v>0</v>
      </c>
      <c r="G148" s="5">
        <f t="shared" si="17"/>
        <v>0</v>
      </c>
      <c r="H148" s="5">
        <v>0</v>
      </c>
      <c r="I148" s="5">
        <f t="shared" si="18"/>
        <v>0</v>
      </c>
      <c r="J148" s="5">
        <f t="shared" si="19"/>
        <v>0</v>
      </c>
      <c r="K148" s="2"/>
    </row>
    <row r="149" spans="1:11" x14ac:dyDescent="0.25">
      <c r="A149" s="8">
        <v>138</v>
      </c>
      <c r="B149" s="9">
        <v>48731</v>
      </c>
      <c r="C149" s="5">
        <f t="shared" si="20"/>
        <v>0</v>
      </c>
      <c r="D149" s="12">
        <f t="shared" si="14"/>
        <v>0</v>
      </c>
      <c r="E149" s="3">
        <f t="shared" si="15"/>
        <v>0</v>
      </c>
      <c r="F149" s="3">
        <f t="shared" si="16"/>
        <v>0</v>
      </c>
      <c r="G149" s="5">
        <f t="shared" si="17"/>
        <v>0</v>
      </c>
      <c r="H149" s="5">
        <v>0</v>
      </c>
      <c r="I149" s="5">
        <f t="shared" si="18"/>
        <v>0</v>
      </c>
      <c r="J149" s="5">
        <f t="shared" si="19"/>
        <v>0</v>
      </c>
      <c r="K149" s="2"/>
    </row>
    <row r="150" spans="1:11" x14ac:dyDescent="0.25">
      <c r="A150" s="8">
        <v>139</v>
      </c>
      <c r="B150" s="9">
        <v>48761</v>
      </c>
      <c r="C150" s="5">
        <f t="shared" si="20"/>
        <v>0</v>
      </c>
      <c r="D150" s="12">
        <f t="shared" si="14"/>
        <v>0</v>
      </c>
      <c r="E150" s="3">
        <f t="shared" si="15"/>
        <v>0</v>
      </c>
      <c r="F150" s="3">
        <f t="shared" si="16"/>
        <v>0</v>
      </c>
      <c r="G150" s="5">
        <f t="shared" si="17"/>
        <v>0</v>
      </c>
      <c r="H150" s="5">
        <v>0</v>
      </c>
      <c r="I150" s="5">
        <f t="shared" si="18"/>
        <v>0</v>
      </c>
      <c r="J150" s="5">
        <f t="shared" si="19"/>
        <v>0</v>
      </c>
      <c r="K150" s="2"/>
    </row>
    <row r="151" spans="1:11" x14ac:dyDescent="0.25">
      <c r="A151" s="8">
        <v>140</v>
      </c>
      <c r="B151" s="9">
        <v>48792</v>
      </c>
      <c r="C151" s="5">
        <f t="shared" si="20"/>
        <v>0</v>
      </c>
      <c r="D151" s="12">
        <f t="shared" si="14"/>
        <v>0</v>
      </c>
      <c r="E151" s="3">
        <f t="shared" si="15"/>
        <v>0</v>
      </c>
      <c r="F151" s="3">
        <f t="shared" si="16"/>
        <v>0</v>
      </c>
      <c r="G151" s="5">
        <f t="shared" si="17"/>
        <v>0</v>
      </c>
      <c r="H151" s="5">
        <v>0</v>
      </c>
      <c r="I151" s="5">
        <f t="shared" si="18"/>
        <v>0</v>
      </c>
      <c r="J151" s="5">
        <f t="shared" si="19"/>
        <v>0</v>
      </c>
      <c r="K151" s="2"/>
    </row>
    <row r="152" spans="1:11" x14ac:dyDescent="0.25">
      <c r="A152" s="8">
        <v>141</v>
      </c>
      <c r="B152" s="9">
        <v>48823</v>
      </c>
      <c r="C152" s="5">
        <f t="shared" si="20"/>
        <v>0</v>
      </c>
      <c r="D152" s="12">
        <f t="shared" si="14"/>
        <v>0</v>
      </c>
      <c r="E152" s="3">
        <f t="shared" si="15"/>
        <v>0</v>
      </c>
      <c r="F152" s="3">
        <f t="shared" si="16"/>
        <v>0</v>
      </c>
      <c r="G152" s="5">
        <f t="shared" si="17"/>
        <v>0</v>
      </c>
      <c r="H152" s="5">
        <v>0</v>
      </c>
      <c r="I152" s="5">
        <f t="shared" si="18"/>
        <v>0</v>
      </c>
      <c r="J152" s="5">
        <f t="shared" si="19"/>
        <v>0</v>
      </c>
      <c r="K152" s="2"/>
    </row>
    <row r="153" spans="1:11" x14ac:dyDescent="0.25">
      <c r="A153" s="8">
        <v>142</v>
      </c>
      <c r="B153" s="9">
        <v>48853</v>
      </c>
      <c r="C153" s="5">
        <f t="shared" si="20"/>
        <v>0</v>
      </c>
      <c r="D153" s="12">
        <f t="shared" si="14"/>
        <v>0</v>
      </c>
      <c r="E153" s="3">
        <f t="shared" si="15"/>
        <v>0</v>
      </c>
      <c r="F153" s="3">
        <f t="shared" si="16"/>
        <v>0</v>
      </c>
      <c r="G153" s="5">
        <f t="shared" si="17"/>
        <v>0</v>
      </c>
      <c r="H153" s="5">
        <v>0</v>
      </c>
      <c r="I153" s="5">
        <f t="shared" si="18"/>
        <v>0</v>
      </c>
      <c r="J153" s="5">
        <f t="shared" si="19"/>
        <v>0</v>
      </c>
      <c r="K153" s="2"/>
    </row>
    <row r="154" spans="1:11" x14ac:dyDescent="0.25">
      <c r="A154" s="8">
        <v>143</v>
      </c>
      <c r="B154" s="9">
        <v>48884</v>
      </c>
      <c r="C154" s="5">
        <f t="shared" si="20"/>
        <v>0</v>
      </c>
      <c r="D154" s="12">
        <f t="shared" si="14"/>
        <v>0</v>
      </c>
      <c r="E154" s="3">
        <f t="shared" si="15"/>
        <v>0</v>
      </c>
      <c r="F154" s="3">
        <f t="shared" si="16"/>
        <v>0</v>
      </c>
      <c r="G154" s="5">
        <f t="shared" si="17"/>
        <v>0</v>
      </c>
      <c r="H154" s="5">
        <v>0</v>
      </c>
      <c r="I154" s="5">
        <f t="shared" si="18"/>
        <v>0</v>
      </c>
      <c r="J154" s="5">
        <f t="shared" si="19"/>
        <v>0</v>
      </c>
      <c r="K154" s="2"/>
    </row>
    <row r="155" spans="1:11" x14ac:dyDescent="0.25">
      <c r="A155" s="8">
        <v>144</v>
      </c>
      <c r="B155" s="9">
        <v>48914</v>
      </c>
      <c r="C155" s="5">
        <f t="shared" si="20"/>
        <v>0</v>
      </c>
      <c r="D155" s="12">
        <f t="shared" si="14"/>
        <v>0</v>
      </c>
      <c r="E155" s="3">
        <f t="shared" si="15"/>
        <v>0</v>
      </c>
      <c r="F155" s="3">
        <f t="shared" si="16"/>
        <v>0</v>
      </c>
      <c r="G155" s="5">
        <f t="shared" si="17"/>
        <v>0</v>
      </c>
      <c r="H155" s="5">
        <v>0</v>
      </c>
      <c r="I155" s="5">
        <f t="shared" si="18"/>
        <v>0</v>
      </c>
      <c r="J155" s="5">
        <f t="shared" si="19"/>
        <v>0</v>
      </c>
      <c r="K155" s="2"/>
    </row>
    <row r="156" spans="1:11" x14ac:dyDescent="0.25">
      <c r="A156" s="8">
        <v>145</v>
      </c>
      <c r="B156" s="9">
        <v>48945</v>
      </c>
      <c r="C156" s="5">
        <f t="shared" si="20"/>
        <v>0</v>
      </c>
      <c r="D156" s="12">
        <f t="shared" si="14"/>
        <v>0</v>
      </c>
      <c r="E156" s="3">
        <f t="shared" si="15"/>
        <v>0</v>
      </c>
      <c r="F156" s="3">
        <f t="shared" si="16"/>
        <v>0</v>
      </c>
      <c r="G156" s="5">
        <f t="shared" si="17"/>
        <v>0</v>
      </c>
      <c r="H156" s="5">
        <v>0</v>
      </c>
      <c r="I156" s="5">
        <f t="shared" si="18"/>
        <v>0</v>
      </c>
      <c r="J156" s="5">
        <f t="shared" si="19"/>
        <v>0</v>
      </c>
      <c r="K156" s="2"/>
    </row>
    <row r="157" spans="1:11" x14ac:dyDescent="0.25">
      <c r="A157" s="8">
        <v>146</v>
      </c>
      <c r="B157" s="9">
        <v>48976</v>
      </c>
      <c r="C157" s="5">
        <f t="shared" si="20"/>
        <v>0</v>
      </c>
      <c r="D157" s="12">
        <f t="shared" si="14"/>
        <v>0</v>
      </c>
      <c r="E157" s="3">
        <f t="shared" si="15"/>
        <v>0</v>
      </c>
      <c r="F157" s="3">
        <f t="shared" si="16"/>
        <v>0</v>
      </c>
      <c r="G157" s="5">
        <f t="shared" si="17"/>
        <v>0</v>
      </c>
      <c r="H157" s="5">
        <v>0</v>
      </c>
      <c r="I157" s="5">
        <f t="shared" si="18"/>
        <v>0</v>
      </c>
      <c r="J157" s="5">
        <f t="shared" si="19"/>
        <v>0</v>
      </c>
      <c r="K157" s="2"/>
    </row>
    <row r="158" spans="1:11" x14ac:dyDescent="0.25">
      <c r="A158" s="8">
        <v>147</v>
      </c>
      <c r="B158" s="9">
        <v>49004</v>
      </c>
      <c r="C158" s="5">
        <f t="shared" si="20"/>
        <v>0</v>
      </c>
      <c r="D158" s="12">
        <f t="shared" si="14"/>
        <v>0</v>
      </c>
      <c r="E158" s="3">
        <f t="shared" si="15"/>
        <v>0</v>
      </c>
      <c r="F158" s="3">
        <f t="shared" si="16"/>
        <v>0</v>
      </c>
      <c r="G158" s="5">
        <f t="shared" si="17"/>
        <v>0</v>
      </c>
      <c r="H158" s="5">
        <v>0</v>
      </c>
      <c r="I158" s="5">
        <f t="shared" si="18"/>
        <v>0</v>
      </c>
      <c r="J158" s="5">
        <f t="shared" si="19"/>
        <v>0</v>
      </c>
      <c r="K158" s="2"/>
    </row>
    <row r="159" spans="1:11" x14ac:dyDescent="0.25">
      <c r="A159" s="8">
        <v>148</v>
      </c>
      <c r="B159" s="9">
        <v>49035</v>
      </c>
      <c r="C159" s="5">
        <f t="shared" si="20"/>
        <v>0</v>
      </c>
      <c r="D159" s="12">
        <f t="shared" si="14"/>
        <v>0</v>
      </c>
      <c r="E159" s="3">
        <f t="shared" si="15"/>
        <v>0</v>
      </c>
      <c r="F159" s="3">
        <f t="shared" si="16"/>
        <v>0</v>
      </c>
      <c r="G159" s="5">
        <f t="shared" si="17"/>
        <v>0</v>
      </c>
      <c r="H159" s="5">
        <v>0</v>
      </c>
      <c r="I159" s="5">
        <f t="shared" si="18"/>
        <v>0</v>
      </c>
      <c r="J159" s="5">
        <f t="shared" si="19"/>
        <v>0</v>
      </c>
      <c r="K159" s="2"/>
    </row>
    <row r="160" spans="1:11" x14ac:dyDescent="0.25">
      <c r="A160" s="8">
        <v>149</v>
      </c>
      <c r="B160" s="9">
        <v>49065</v>
      </c>
      <c r="C160" s="5">
        <f t="shared" si="20"/>
        <v>0</v>
      </c>
      <c r="D160" s="12">
        <f t="shared" si="14"/>
        <v>0</v>
      </c>
      <c r="E160" s="3">
        <f t="shared" si="15"/>
        <v>0</v>
      </c>
      <c r="F160" s="3">
        <f t="shared" si="16"/>
        <v>0</v>
      </c>
      <c r="G160" s="5">
        <f t="shared" si="17"/>
        <v>0</v>
      </c>
      <c r="H160" s="5">
        <v>0</v>
      </c>
      <c r="I160" s="5">
        <f t="shared" si="18"/>
        <v>0</v>
      </c>
      <c r="J160" s="5">
        <f t="shared" si="19"/>
        <v>0</v>
      </c>
      <c r="K160" s="2"/>
    </row>
    <row r="161" spans="1:11" x14ac:dyDescent="0.25">
      <c r="A161" s="8">
        <v>150</v>
      </c>
      <c r="B161" s="9">
        <v>49096</v>
      </c>
      <c r="C161" s="5">
        <f t="shared" si="20"/>
        <v>0</v>
      </c>
      <c r="D161" s="12">
        <f t="shared" si="14"/>
        <v>0</v>
      </c>
      <c r="E161" s="3">
        <f t="shared" si="15"/>
        <v>0</v>
      </c>
      <c r="F161" s="3">
        <f t="shared" si="16"/>
        <v>0</v>
      </c>
      <c r="G161" s="5">
        <f t="shared" si="17"/>
        <v>0</v>
      </c>
      <c r="H161" s="5">
        <v>0</v>
      </c>
      <c r="I161" s="5">
        <f t="shared" si="18"/>
        <v>0</v>
      </c>
      <c r="J161" s="5">
        <f t="shared" si="19"/>
        <v>0</v>
      </c>
      <c r="K161" s="2"/>
    </row>
    <row r="162" spans="1:11" x14ac:dyDescent="0.25">
      <c r="A162" s="8">
        <v>151</v>
      </c>
      <c r="B162" s="9">
        <v>49126</v>
      </c>
      <c r="C162" s="5">
        <f t="shared" si="20"/>
        <v>0</v>
      </c>
      <c r="D162" s="12">
        <f t="shared" si="14"/>
        <v>0</v>
      </c>
      <c r="E162" s="3">
        <f t="shared" si="15"/>
        <v>0</v>
      </c>
      <c r="F162" s="3">
        <f t="shared" si="16"/>
        <v>0</v>
      </c>
      <c r="G162" s="5">
        <f t="shared" si="17"/>
        <v>0</v>
      </c>
      <c r="H162" s="5">
        <v>0</v>
      </c>
      <c r="I162" s="5">
        <f t="shared" si="18"/>
        <v>0</v>
      </c>
      <c r="J162" s="5">
        <f t="shared" si="19"/>
        <v>0</v>
      </c>
      <c r="K162" s="2"/>
    </row>
    <row r="163" spans="1:11" x14ac:dyDescent="0.25">
      <c r="A163" s="8">
        <v>152</v>
      </c>
      <c r="B163" s="9">
        <v>49157</v>
      </c>
      <c r="C163" s="5">
        <f t="shared" si="20"/>
        <v>0</v>
      </c>
      <c r="D163" s="12">
        <f t="shared" si="14"/>
        <v>0</v>
      </c>
      <c r="E163" s="3">
        <f t="shared" si="15"/>
        <v>0</v>
      </c>
      <c r="F163" s="3">
        <f t="shared" si="16"/>
        <v>0</v>
      </c>
      <c r="G163" s="5">
        <f t="shared" si="17"/>
        <v>0</v>
      </c>
      <c r="H163" s="5">
        <v>0</v>
      </c>
      <c r="I163" s="5">
        <f t="shared" si="18"/>
        <v>0</v>
      </c>
      <c r="J163" s="5">
        <f t="shared" si="19"/>
        <v>0</v>
      </c>
      <c r="K163" s="2"/>
    </row>
    <row r="164" spans="1:11" x14ac:dyDescent="0.25">
      <c r="A164" s="8">
        <v>153</v>
      </c>
      <c r="B164" s="9">
        <v>49188</v>
      </c>
      <c r="C164" s="5">
        <f t="shared" si="20"/>
        <v>0</v>
      </c>
      <c r="D164" s="12">
        <f t="shared" si="14"/>
        <v>0</v>
      </c>
      <c r="E164" s="3">
        <f t="shared" si="15"/>
        <v>0</v>
      </c>
      <c r="F164" s="3">
        <f t="shared" si="16"/>
        <v>0</v>
      </c>
      <c r="G164" s="5">
        <f t="shared" si="17"/>
        <v>0</v>
      </c>
      <c r="H164" s="5">
        <v>0</v>
      </c>
      <c r="I164" s="5">
        <f t="shared" si="18"/>
        <v>0</v>
      </c>
      <c r="J164" s="5">
        <f t="shared" si="19"/>
        <v>0</v>
      </c>
      <c r="K164" s="2"/>
    </row>
    <row r="165" spans="1:11" x14ac:dyDescent="0.25">
      <c r="A165" s="8">
        <v>154</v>
      </c>
      <c r="B165" s="9">
        <v>49218</v>
      </c>
      <c r="C165" s="5">
        <f t="shared" si="20"/>
        <v>0</v>
      </c>
      <c r="D165" s="12">
        <f t="shared" si="14"/>
        <v>0</v>
      </c>
      <c r="E165" s="3">
        <f t="shared" si="15"/>
        <v>0</v>
      </c>
      <c r="F165" s="3">
        <f t="shared" si="16"/>
        <v>0</v>
      </c>
      <c r="G165" s="5">
        <f t="shared" si="17"/>
        <v>0</v>
      </c>
      <c r="H165" s="5">
        <v>0</v>
      </c>
      <c r="I165" s="5">
        <f t="shared" si="18"/>
        <v>0</v>
      </c>
      <c r="J165" s="5">
        <f t="shared" si="19"/>
        <v>0</v>
      </c>
      <c r="K165" s="2"/>
    </row>
    <row r="166" spans="1:11" x14ac:dyDescent="0.25">
      <c r="A166" s="8">
        <v>155</v>
      </c>
      <c r="B166" s="9">
        <v>49249</v>
      </c>
      <c r="C166" s="5">
        <f t="shared" si="20"/>
        <v>0</v>
      </c>
      <c r="D166" s="12">
        <f t="shared" si="14"/>
        <v>0</v>
      </c>
      <c r="E166" s="3">
        <f t="shared" si="15"/>
        <v>0</v>
      </c>
      <c r="F166" s="3">
        <f t="shared" si="16"/>
        <v>0</v>
      </c>
      <c r="G166" s="5">
        <f t="shared" si="17"/>
        <v>0</v>
      </c>
      <c r="H166" s="5">
        <v>0</v>
      </c>
      <c r="I166" s="5">
        <f t="shared" si="18"/>
        <v>0</v>
      </c>
      <c r="J166" s="5">
        <f t="shared" si="19"/>
        <v>0</v>
      </c>
      <c r="K166" s="2"/>
    </row>
    <row r="167" spans="1:11" x14ac:dyDescent="0.25">
      <c r="A167" s="8">
        <v>156</v>
      </c>
      <c r="B167" s="9">
        <v>49279</v>
      </c>
      <c r="C167" s="5">
        <f t="shared" si="20"/>
        <v>0</v>
      </c>
      <c r="D167" s="12">
        <f t="shared" si="14"/>
        <v>0</v>
      </c>
      <c r="E167" s="3">
        <f t="shared" si="15"/>
        <v>0</v>
      </c>
      <c r="F167" s="3">
        <f t="shared" si="16"/>
        <v>0</v>
      </c>
      <c r="G167" s="5">
        <f t="shared" si="17"/>
        <v>0</v>
      </c>
      <c r="H167" s="5">
        <v>0</v>
      </c>
      <c r="I167" s="5">
        <f t="shared" si="18"/>
        <v>0</v>
      </c>
      <c r="J167" s="5">
        <f t="shared" si="19"/>
        <v>0</v>
      </c>
      <c r="K167" s="2"/>
    </row>
    <row r="168" spans="1:11" x14ac:dyDescent="0.25">
      <c r="A168" s="8">
        <v>157</v>
      </c>
      <c r="B168" s="9">
        <v>49310</v>
      </c>
      <c r="C168" s="5">
        <f t="shared" si="20"/>
        <v>0</v>
      </c>
      <c r="D168" s="12">
        <f t="shared" si="14"/>
        <v>0</v>
      </c>
      <c r="E168" s="3">
        <f t="shared" si="15"/>
        <v>0</v>
      </c>
      <c r="F168" s="3">
        <f t="shared" si="16"/>
        <v>0</v>
      </c>
      <c r="G168" s="5">
        <f t="shared" si="17"/>
        <v>0</v>
      </c>
      <c r="H168" s="5">
        <v>0</v>
      </c>
      <c r="I168" s="5">
        <f t="shared" si="18"/>
        <v>0</v>
      </c>
      <c r="J168" s="5">
        <f t="shared" si="19"/>
        <v>0</v>
      </c>
      <c r="K168" s="2"/>
    </row>
    <row r="169" spans="1:11" x14ac:dyDescent="0.25">
      <c r="A169" s="8">
        <v>158</v>
      </c>
      <c r="B169" s="9">
        <v>49341</v>
      </c>
      <c r="C169" s="5">
        <f t="shared" si="20"/>
        <v>0</v>
      </c>
      <c r="D169" s="12">
        <f t="shared" si="14"/>
        <v>0</v>
      </c>
      <c r="E169" s="3">
        <f t="shared" si="15"/>
        <v>0</v>
      </c>
      <c r="F169" s="3">
        <f t="shared" si="16"/>
        <v>0</v>
      </c>
      <c r="G169" s="5">
        <f t="shared" si="17"/>
        <v>0</v>
      </c>
      <c r="H169" s="5">
        <v>0</v>
      </c>
      <c r="I169" s="5">
        <f t="shared" si="18"/>
        <v>0</v>
      </c>
      <c r="J169" s="5">
        <f t="shared" si="19"/>
        <v>0</v>
      </c>
      <c r="K169" s="2"/>
    </row>
    <row r="170" spans="1:11" x14ac:dyDescent="0.25">
      <c r="A170" s="8">
        <v>159</v>
      </c>
      <c r="B170" s="9">
        <v>49369</v>
      </c>
      <c r="C170" s="5">
        <f t="shared" si="20"/>
        <v>0</v>
      </c>
      <c r="D170" s="12">
        <f t="shared" si="14"/>
        <v>0</v>
      </c>
      <c r="E170" s="3">
        <f t="shared" si="15"/>
        <v>0</v>
      </c>
      <c r="F170" s="3">
        <f t="shared" si="16"/>
        <v>0</v>
      </c>
      <c r="G170" s="5">
        <f t="shared" si="17"/>
        <v>0</v>
      </c>
      <c r="H170" s="5">
        <v>0</v>
      </c>
      <c r="I170" s="5">
        <f t="shared" si="18"/>
        <v>0</v>
      </c>
      <c r="J170" s="5">
        <f t="shared" si="19"/>
        <v>0</v>
      </c>
      <c r="K170" s="2"/>
    </row>
    <row r="171" spans="1:11" x14ac:dyDescent="0.25">
      <c r="A171" s="8">
        <v>160</v>
      </c>
      <c r="B171" s="9">
        <v>49400</v>
      </c>
      <c r="C171" s="5">
        <f t="shared" si="20"/>
        <v>0</v>
      </c>
      <c r="D171" s="12">
        <f t="shared" si="14"/>
        <v>0</v>
      </c>
      <c r="E171" s="3">
        <f t="shared" si="15"/>
        <v>0</v>
      </c>
      <c r="F171" s="3">
        <f t="shared" si="16"/>
        <v>0</v>
      </c>
      <c r="G171" s="5">
        <f t="shared" si="17"/>
        <v>0</v>
      </c>
      <c r="H171" s="5">
        <v>0</v>
      </c>
      <c r="I171" s="5">
        <f t="shared" si="18"/>
        <v>0</v>
      </c>
      <c r="J171" s="5">
        <f t="shared" si="19"/>
        <v>0</v>
      </c>
      <c r="K171" s="2"/>
    </row>
    <row r="172" spans="1:11" x14ac:dyDescent="0.25">
      <c r="A172" s="8">
        <v>161</v>
      </c>
      <c r="B172" s="9">
        <v>49430</v>
      </c>
      <c r="C172" s="5">
        <f t="shared" si="20"/>
        <v>0</v>
      </c>
      <c r="D172" s="12">
        <f t="shared" si="14"/>
        <v>0</v>
      </c>
      <c r="E172" s="3">
        <f t="shared" si="15"/>
        <v>0</v>
      </c>
      <c r="F172" s="3">
        <f t="shared" si="16"/>
        <v>0</v>
      </c>
      <c r="G172" s="5">
        <f t="shared" si="17"/>
        <v>0</v>
      </c>
      <c r="H172" s="5">
        <v>0</v>
      </c>
      <c r="I172" s="5">
        <f t="shared" si="18"/>
        <v>0</v>
      </c>
      <c r="J172" s="5">
        <f t="shared" si="19"/>
        <v>0</v>
      </c>
      <c r="K172" s="2"/>
    </row>
    <row r="173" spans="1:11" x14ac:dyDescent="0.25">
      <c r="A173" s="8">
        <v>162</v>
      </c>
      <c r="B173" s="9">
        <v>49461</v>
      </c>
      <c r="C173" s="5">
        <f t="shared" si="20"/>
        <v>0</v>
      </c>
      <c r="D173" s="12">
        <f t="shared" si="14"/>
        <v>0</v>
      </c>
      <c r="E173" s="3">
        <f t="shared" si="15"/>
        <v>0</v>
      </c>
      <c r="F173" s="3">
        <f t="shared" si="16"/>
        <v>0</v>
      </c>
      <c r="G173" s="5">
        <f t="shared" si="17"/>
        <v>0</v>
      </c>
      <c r="H173" s="5">
        <v>0</v>
      </c>
      <c r="I173" s="5">
        <f t="shared" si="18"/>
        <v>0</v>
      </c>
      <c r="J173" s="5">
        <f t="shared" si="19"/>
        <v>0</v>
      </c>
      <c r="K173" s="2"/>
    </row>
    <row r="174" spans="1:11" x14ac:dyDescent="0.25">
      <c r="A174" s="8">
        <v>163</v>
      </c>
      <c r="B174" s="9">
        <v>49491</v>
      </c>
      <c r="C174" s="5">
        <f t="shared" si="20"/>
        <v>0</v>
      </c>
      <c r="D174" s="12">
        <f t="shared" si="14"/>
        <v>0</v>
      </c>
      <c r="E174" s="3">
        <f t="shared" si="15"/>
        <v>0</v>
      </c>
      <c r="F174" s="3">
        <f t="shared" si="16"/>
        <v>0</v>
      </c>
      <c r="G174" s="5">
        <f t="shared" si="17"/>
        <v>0</v>
      </c>
      <c r="H174" s="5">
        <v>0</v>
      </c>
      <c r="I174" s="5">
        <f t="shared" si="18"/>
        <v>0</v>
      </c>
      <c r="J174" s="5">
        <f t="shared" si="19"/>
        <v>0</v>
      </c>
      <c r="K174" s="2"/>
    </row>
    <row r="175" spans="1:11" x14ac:dyDescent="0.25">
      <c r="A175" s="8">
        <v>164</v>
      </c>
      <c r="B175" s="9">
        <v>49522</v>
      </c>
      <c r="C175" s="5">
        <f t="shared" si="20"/>
        <v>0</v>
      </c>
      <c r="D175" s="12">
        <f t="shared" si="14"/>
        <v>0</v>
      </c>
      <c r="E175" s="3">
        <f t="shared" si="15"/>
        <v>0</v>
      </c>
      <c r="F175" s="3">
        <f t="shared" si="16"/>
        <v>0</v>
      </c>
      <c r="G175" s="5">
        <f t="shared" si="17"/>
        <v>0</v>
      </c>
      <c r="H175" s="5">
        <v>0</v>
      </c>
      <c r="I175" s="5">
        <f t="shared" si="18"/>
        <v>0</v>
      </c>
      <c r="J175" s="5">
        <f t="shared" si="19"/>
        <v>0</v>
      </c>
      <c r="K175" s="2"/>
    </row>
    <row r="176" spans="1:11" x14ac:dyDescent="0.25">
      <c r="A176" s="8">
        <v>165</v>
      </c>
      <c r="B176" s="9">
        <v>49553</v>
      </c>
      <c r="C176" s="5">
        <f t="shared" si="20"/>
        <v>0</v>
      </c>
      <c r="D176" s="12">
        <f t="shared" si="14"/>
        <v>0</v>
      </c>
      <c r="E176" s="3">
        <f t="shared" si="15"/>
        <v>0</v>
      </c>
      <c r="F176" s="3">
        <f t="shared" si="16"/>
        <v>0</v>
      </c>
      <c r="G176" s="5">
        <f t="shared" si="17"/>
        <v>0</v>
      </c>
      <c r="H176" s="5">
        <v>0</v>
      </c>
      <c r="I176" s="5">
        <f t="shared" si="18"/>
        <v>0</v>
      </c>
      <c r="J176" s="5">
        <f t="shared" si="19"/>
        <v>0</v>
      </c>
      <c r="K176" s="2"/>
    </row>
    <row r="177" spans="1:11" x14ac:dyDescent="0.25">
      <c r="A177" s="8">
        <v>166</v>
      </c>
      <c r="B177" s="9">
        <v>49583</v>
      </c>
      <c r="C177" s="5">
        <f t="shared" si="20"/>
        <v>0</v>
      </c>
      <c r="D177" s="12">
        <f t="shared" si="14"/>
        <v>0</v>
      </c>
      <c r="E177" s="3">
        <f t="shared" si="15"/>
        <v>0</v>
      </c>
      <c r="F177" s="3">
        <f t="shared" si="16"/>
        <v>0</v>
      </c>
      <c r="G177" s="5">
        <f t="shared" si="17"/>
        <v>0</v>
      </c>
      <c r="H177" s="5">
        <v>0</v>
      </c>
      <c r="I177" s="5">
        <f t="shared" si="18"/>
        <v>0</v>
      </c>
      <c r="J177" s="5">
        <f t="shared" si="19"/>
        <v>0</v>
      </c>
      <c r="K177" s="2"/>
    </row>
    <row r="178" spans="1:11" x14ac:dyDescent="0.25">
      <c r="A178" s="8">
        <v>167</v>
      </c>
      <c r="B178" s="9">
        <v>49614</v>
      </c>
      <c r="C178" s="5">
        <f t="shared" si="20"/>
        <v>0</v>
      </c>
      <c r="D178" s="12">
        <f t="shared" si="14"/>
        <v>0</v>
      </c>
      <c r="E178" s="3">
        <f t="shared" si="15"/>
        <v>0</v>
      </c>
      <c r="F178" s="3">
        <f t="shared" si="16"/>
        <v>0</v>
      </c>
      <c r="G178" s="5">
        <f t="shared" si="17"/>
        <v>0</v>
      </c>
      <c r="H178" s="5">
        <v>0</v>
      </c>
      <c r="I178" s="5">
        <f t="shared" si="18"/>
        <v>0</v>
      </c>
      <c r="J178" s="5">
        <f t="shared" si="19"/>
        <v>0</v>
      </c>
      <c r="K178" s="2"/>
    </row>
    <row r="179" spans="1:11" x14ac:dyDescent="0.25">
      <c r="A179" s="8">
        <v>168</v>
      </c>
      <c r="B179" s="9">
        <v>49644</v>
      </c>
      <c r="C179" s="5">
        <f t="shared" si="20"/>
        <v>0</v>
      </c>
      <c r="D179" s="12">
        <f t="shared" si="14"/>
        <v>0</v>
      </c>
      <c r="E179" s="3">
        <f t="shared" si="15"/>
        <v>0</v>
      </c>
      <c r="F179" s="3">
        <f t="shared" si="16"/>
        <v>0</v>
      </c>
      <c r="G179" s="5">
        <f t="shared" si="17"/>
        <v>0</v>
      </c>
      <c r="H179" s="5">
        <v>0</v>
      </c>
      <c r="I179" s="5">
        <f t="shared" si="18"/>
        <v>0</v>
      </c>
      <c r="J179" s="5">
        <f t="shared" si="19"/>
        <v>0</v>
      </c>
      <c r="K179" s="2"/>
    </row>
    <row r="180" spans="1:11" x14ac:dyDescent="0.25">
      <c r="A180" s="8">
        <v>169</v>
      </c>
      <c r="B180" s="9">
        <v>49675</v>
      </c>
      <c r="C180" s="5">
        <f t="shared" si="20"/>
        <v>0</v>
      </c>
      <c r="D180" s="12">
        <f t="shared" si="14"/>
        <v>0</v>
      </c>
      <c r="E180" s="3">
        <f t="shared" si="15"/>
        <v>0</v>
      </c>
      <c r="F180" s="3">
        <f t="shared" si="16"/>
        <v>0</v>
      </c>
      <c r="G180" s="5">
        <f t="shared" si="17"/>
        <v>0</v>
      </c>
      <c r="H180" s="5">
        <v>0</v>
      </c>
      <c r="I180" s="5">
        <f t="shared" si="18"/>
        <v>0</v>
      </c>
      <c r="J180" s="5">
        <f t="shared" si="19"/>
        <v>0</v>
      </c>
      <c r="K180" s="2"/>
    </row>
    <row r="181" spans="1:11" x14ac:dyDescent="0.25">
      <c r="A181" s="8">
        <v>170</v>
      </c>
      <c r="B181" s="9">
        <v>49706</v>
      </c>
      <c r="C181" s="5">
        <f t="shared" si="20"/>
        <v>0</v>
      </c>
      <c r="D181" s="12">
        <f t="shared" si="14"/>
        <v>0</v>
      </c>
      <c r="E181" s="3">
        <f t="shared" si="15"/>
        <v>0</v>
      </c>
      <c r="F181" s="3">
        <f t="shared" si="16"/>
        <v>0</v>
      </c>
      <c r="G181" s="5">
        <f t="shared" si="17"/>
        <v>0</v>
      </c>
      <c r="H181" s="5">
        <v>0</v>
      </c>
      <c r="I181" s="5">
        <f t="shared" si="18"/>
        <v>0</v>
      </c>
      <c r="J181" s="5">
        <f t="shared" si="19"/>
        <v>0</v>
      </c>
      <c r="K181" s="2"/>
    </row>
    <row r="182" spans="1:11" x14ac:dyDescent="0.25">
      <c r="A182" s="8">
        <v>171</v>
      </c>
      <c r="B182" s="9">
        <v>49735</v>
      </c>
      <c r="C182" s="5">
        <f t="shared" si="20"/>
        <v>0</v>
      </c>
      <c r="D182" s="12">
        <f t="shared" si="14"/>
        <v>0</v>
      </c>
      <c r="E182" s="3">
        <f t="shared" si="15"/>
        <v>0</v>
      </c>
      <c r="F182" s="3">
        <f t="shared" si="16"/>
        <v>0</v>
      </c>
      <c r="G182" s="5">
        <f t="shared" si="17"/>
        <v>0</v>
      </c>
      <c r="H182" s="5">
        <v>0</v>
      </c>
      <c r="I182" s="5">
        <f t="shared" si="18"/>
        <v>0</v>
      </c>
      <c r="J182" s="5">
        <f t="shared" si="19"/>
        <v>0</v>
      </c>
      <c r="K182" s="2"/>
    </row>
    <row r="183" spans="1:11" x14ac:dyDescent="0.25">
      <c r="A183" s="8">
        <v>172</v>
      </c>
      <c r="B183" s="9">
        <v>49766</v>
      </c>
      <c r="C183" s="5">
        <f t="shared" si="20"/>
        <v>0</v>
      </c>
      <c r="D183" s="12">
        <f t="shared" si="14"/>
        <v>0</v>
      </c>
      <c r="E183" s="3">
        <f t="shared" si="15"/>
        <v>0</v>
      </c>
      <c r="F183" s="3">
        <f t="shared" si="16"/>
        <v>0</v>
      </c>
      <c r="G183" s="5">
        <f t="shared" si="17"/>
        <v>0</v>
      </c>
      <c r="H183" s="5">
        <v>0</v>
      </c>
      <c r="I183" s="5">
        <f t="shared" si="18"/>
        <v>0</v>
      </c>
      <c r="J183" s="5">
        <f t="shared" si="19"/>
        <v>0</v>
      </c>
      <c r="K183" s="2"/>
    </row>
    <row r="184" spans="1:11" x14ac:dyDescent="0.25">
      <c r="A184" s="8">
        <v>173</v>
      </c>
      <c r="B184" s="9">
        <v>49796</v>
      </c>
      <c r="C184" s="5">
        <f t="shared" si="20"/>
        <v>0</v>
      </c>
      <c r="D184" s="12">
        <f t="shared" si="14"/>
        <v>0</v>
      </c>
      <c r="E184" s="3">
        <f t="shared" si="15"/>
        <v>0</v>
      </c>
      <c r="F184" s="3">
        <f t="shared" si="16"/>
        <v>0</v>
      </c>
      <c r="G184" s="5">
        <f t="shared" si="17"/>
        <v>0</v>
      </c>
      <c r="H184" s="5">
        <v>0</v>
      </c>
      <c r="I184" s="5">
        <f t="shared" si="18"/>
        <v>0</v>
      </c>
      <c r="J184" s="5">
        <f t="shared" si="19"/>
        <v>0</v>
      </c>
      <c r="K184" s="2"/>
    </row>
    <row r="185" spans="1:11" x14ac:dyDescent="0.25">
      <c r="A185" s="8">
        <v>174</v>
      </c>
      <c r="B185" s="9">
        <v>49827</v>
      </c>
      <c r="C185" s="5">
        <f t="shared" si="20"/>
        <v>0</v>
      </c>
      <c r="D185" s="12">
        <f t="shared" si="14"/>
        <v>0</v>
      </c>
      <c r="E185" s="3">
        <f t="shared" si="15"/>
        <v>0</v>
      </c>
      <c r="F185" s="3">
        <f t="shared" si="16"/>
        <v>0</v>
      </c>
      <c r="G185" s="5">
        <f t="shared" si="17"/>
        <v>0</v>
      </c>
      <c r="H185" s="5">
        <v>0</v>
      </c>
      <c r="I185" s="5">
        <f t="shared" si="18"/>
        <v>0</v>
      </c>
      <c r="J185" s="5">
        <f t="shared" si="19"/>
        <v>0</v>
      </c>
      <c r="K185" s="2"/>
    </row>
    <row r="186" spans="1:11" x14ac:dyDescent="0.25">
      <c r="A186" s="8">
        <v>175</v>
      </c>
      <c r="B186" s="9">
        <v>49857</v>
      </c>
      <c r="C186" s="5">
        <f t="shared" si="20"/>
        <v>0</v>
      </c>
      <c r="D186" s="12">
        <f t="shared" si="14"/>
        <v>0</v>
      </c>
      <c r="E186" s="3">
        <f t="shared" si="15"/>
        <v>0</v>
      </c>
      <c r="F186" s="3">
        <f t="shared" si="16"/>
        <v>0</v>
      </c>
      <c r="G186" s="5">
        <f t="shared" si="17"/>
        <v>0</v>
      </c>
      <c r="H186" s="5">
        <v>0</v>
      </c>
      <c r="I186" s="5">
        <f t="shared" si="18"/>
        <v>0</v>
      </c>
      <c r="J186" s="5">
        <f t="shared" si="19"/>
        <v>0</v>
      </c>
      <c r="K186" s="2"/>
    </row>
    <row r="187" spans="1:11" x14ac:dyDescent="0.25">
      <c r="A187" s="8">
        <v>176</v>
      </c>
      <c r="B187" s="9">
        <v>49888</v>
      </c>
      <c r="C187" s="5">
        <f t="shared" si="20"/>
        <v>0</v>
      </c>
      <c r="D187" s="12">
        <f t="shared" si="14"/>
        <v>0</v>
      </c>
      <c r="E187" s="3">
        <f t="shared" si="15"/>
        <v>0</v>
      </c>
      <c r="F187" s="3">
        <f t="shared" si="16"/>
        <v>0</v>
      </c>
      <c r="G187" s="5">
        <f t="shared" si="17"/>
        <v>0</v>
      </c>
      <c r="H187" s="5">
        <v>0</v>
      </c>
      <c r="I187" s="5">
        <f t="shared" si="18"/>
        <v>0</v>
      </c>
      <c r="J187" s="5">
        <f t="shared" si="19"/>
        <v>0</v>
      </c>
      <c r="K187" s="2"/>
    </row>
    <row r="188" spans="1:11" x14ac:dyDescent="0.25">
      <c r="A188" s="8">
        <v>177</v>
      </c>
      <c r="B188" s="9">
        <v>49919</v>
      </c>
      <c r="C188" s="5">
        <f t="shared" si="20"/>
        <v>0</v>
      </c>
      <c r="D188" s="12">
        <f t="shared" si="14"/>
        <v>0</v>
      </c>
      <c r="E188" s="3">
        <f t="shared" si="15"/>
        <v>0</v>
      </c>
      <c r="F188" s="3">
        <f t="shared" si="16"/>
        <v>0</v>
      </c>
      <c r="G188" s="5">
        <f t="shared" si="17"/>
        <v>0</v>
      </c>
      <c r="H188" s="5">
        <v>0</v>
      </c>
      <c r="I188" s="5">
        <f t="shared" si="18"/>
        <v>0</v>
      </c>
      <c r="J188" s="5">
        <f t="shared" si="19"/>
        <v>0</v>
      </c>
      <c r="K188" s="2"/>
    </row>
    <row r="189" spans="1:11" x14ac:dyDescent="0.25">
      <c r="A189" s="8">
        <v>178</v>
      </c>
      <c r="B189" s="9">
        <v>49949</v>
      </c>
      <c r="C189" s="5">
        <f t="shared" si="20"/>
        <v>0</v>
      </c>
      <c r="D189" s="12">
        <f t="shared" si="14"/>
        <v>0</v>
      </c>
      <c r="E189" s="3">
        <f t="shared" si="15"/>
        <v>0</v>
      </c>
      <c r="F189" s="3">
        <f t="shared" si="16"/>
        <v>0</v>
      </c>
      <c r="G189" s="5">
        <f t="shared" si="17"/>
        <v>0</v>
      </c>
      <c r="H189" s="5">
        <v>0</v>
      </c>
      <c r="I189" s="5">
        <f t="shared" si="18"/>
        <v>0</v>
      </c>
      <c r="J189" s="5">
        <f t="shared" si="19"/>
        <v>0</v>
      </c>
      <c r="K189" s="2"/>
    </row>
    <row r="190" spans="1:11" x14ac:dyDescent="0.25">
      <c r="A190" s="8">
        <v>179</v>
      </c>
      <c r="B190" s="9">
        <v>49980</v>
      </c>
      <c r="C190" s="5">
        <f t="shared" si="20"/>
        <v>0</v>
      </c>
      <c r="D190" s="12">
        <f t="shared" si="14"/>
        <v>0</v>
      </c>
      <c r="E190" s="3">
        <f t="shared" si="15"/>
        <v>0</v>
      </c>
      <c r="F190" s="3">
        <f t="shared" si="16"/>
        <v>0</v>
      </c>
      <c r="G190" s="5">
        <f t="shared" si="17"/>
        <v>0</v>
      </c>
      <c r="H190" s="5">
        <v>0</v>
      </c>
      <c r="I190" s="5">
        <f t="shared" si="18"/>
        <v>0</v>
      </c>
      <c r="J190" s="5">
        <f t="shared" si="19"/>
        <v>0</v>
      </c>
      <c r="K190" s="2"/>
    </row>
    <row r="191" spans="1:11" x14ac:dyDescent="0.25">
      <c r="A191" s="8">
        <v>180</v>
      </c>
      <c r="B191" s="9">
        <v>50010</v>
      </c>
      <c r="C191" s="5">
        <f t="shared" si="20"/>
        <v>0</v>
      </c>
      <c r="D191" s="12">
        <f t="shared" si="14"/>
        <v>0</v>
      </c>
      <c r="E191" s="3">
        <f t="shared" si="15"/>
        <v>0</v>
      </c>
      <c r="F191" s="3">
        <f t="shared" si="16"/>
        <v>0</v>
      </c>
      <c r="G191" s="5">
        <f t="shared" si="17"/>
        <v>0</v>
      </c>
      <c r="H191" s="5">
        <v>0</v>
      </c>
      <c r="I191" s="5">
        <f t="shared" si="18"/>
        <v>0</v>
      </c>
      <c r="J191" s="5">
        <f t="shared" si="19"/>
        <v>0</v>
      </c>
      <c r="K191" s="2"/>
    </row>
    <row r="192" spans="1:11" x14ac:dyDescent="0.25">
      <c r="A192" s="8">
        <v>181</v>
      </c>
      <c r="B192" s="9">
        <v>50041</v>
      </c>
      <c r="C192" s="5">
        <f t="shared" si="20"/>
        <v>0</v>
      </c>
      <c r="D192" s="12">
        <f t="shared" si="14"/>
        <v>0</v>
      </c>
      <c r="E192" s="3">
        <f t="shared" si="15"/>
        <v>0</v>
      </c>
      <c r="F192" s="3">
        <f t="shared" si="16"/>
        <v>0</v>
      </c>
      <c r="G192" s="5">
        <f t="shared" si="17"/>
        <v>0</v>
      </c>
      <c r="H192" s="5">
        <v>0</v>
      </c>
      <c r="I192" s="5">
        <f t="shared" si="18"/>
        <v>0</v>
      </c>
      <c r="J192" s="5">
        <f t="shared" si="19"/>
        <v>0</v>
      </c>
      <c r="K192" s="2"/>
    </row>
    <row r="193" spans="1:11" x14ac:dyDescent="0.25">
      <c r="A193" s="8">
        <v>182</v>
      </c>
      <c r="B193" s="9">
        <v>50072</v>
      </c>
      <c r="C193" s="5">
        <f t="shared" si="20"/>
        <v>0</v>
      </c>
      <c r="D193" s="12">
        <f t="shared" si="14"/>
        <v>0</v>
      </c>
      <c r="E193" s="3">
        <f t="shared" si="15"/>
        <v>0</v>
      </c>
      <c r="F193" s="3">
        <f t="shared" si="16"/>
        <v>0</v>
      </c>
      <c r="G193" s="5">
        <f t="shared" si="17"/>
        <v>0</v>
      </c>
      <c r="H193" s="5">
        <v>0</v>
      </c>
      <c r="I193" s="5">
        <f t="shared" si="18"/>
        <v>0</v>
      </c>
      <c r="J193" s="5">
        <f t="shared" si="19"/>
        <v>0</v>
      </c>
      <c r="K193" s="2"/>
    </row>
    <row r="194" spans="1:11" x14ac:dyDescent="0.25">
      <c r="A194" s="8">
        <v>183</v>
      </c>
      <c r="B194" s="9">
        <v>50100</v>
      </c>
      <c r="C194" s="5">
        <f t="shared" si="20"/>
        <v>0</v>
      </c>
      <c r="D194" s="12">
        <f t="shared" si="14"/>
        <v>0</v>
      </c>
      <c r="E194" s="3">
        <f t="shared" si="15"/>
        <v>0</v>
      </c>
      <c r="F194" s="3">
        <f t="shared" si="16"/>
        <v>0</v>
      </c>
      <c r="G194" s="5">
        <f t="shared" si="17"/>
        <v>0</v>
      </c>
      <c r="H194" s="5">
        <v>0</v>
      </c>
      <c r="I194" s="5">
        <f t="shared" si="18"/>
        <v>0</v>
      </c>
      <c r="J194" s="5">
        <f t="shared" si="19"/>
        <v>0</v>
      </c>
      <c r="K194" s="2"/>
    </row>
    <row r="195" spans="1:11" x14ac:dyDescent="0.25">
      <c r="A195" s="8">
        <v>184</v>
      </c>
      <c r="B195" s="9">
        <v>50131</v>
      </c>
      <c r="C195" s="5">
        <f t="shared" si="20"/>
        <v>0</v>
      </c>
      <c r="D195" s="12">
        <f t="shared" si="14"/>
        <v>0</v>
      </c>
      <c r="E195" s="3">
        <f t="shared" si="15"/>
        <v>0</v>
      </c>
      <c r="F195" s="3">
        <f t="shared" si="16"/>
        <v>0</v>
      </c>
      <c r="G195" s="5">
        <f t="shared" si="17"/>
        <v>0</v>
      </c>
      <c r="H195" s="5">
        <v>0</v>
      </c>
      <c r="I195" s="5">
        <f t="shared" si="18"/>
        <v>0</v>
      </c>
      <c r="J195" s="5">
        <f t="shared" si="19"/>
        <v>0</v>
      </c>
      <c r="K195" s="2"/>
    </row>
    <row r="196" spans="1:11" x14ac:dyDescent="0.25">
      <c r="A196" s="8">
        <v>185</v>
      </c>
      <c r="B196" s="9">
        <v>50161</v>
      </c>
      <c r="C196" s="5">
        <f t="shared" si="20"/>
        <v>0</v>
      </c>
      <c r="D196" s="12">
        <f t="shared" si="14"/>
        <v>0</v>
      </c>
      <c r="E196" s="3">
        <f t="shared" si="15"/>
        <v>0</v>
      </c>
      <c r="F196" s="3">
        <f t="shared" si="16"/>
        <v>0</v>
      </c>
      <c r="G196" s="5">
        <f t="shared" si="17"/>
        <v>0</v>
      </c>
      <c r="H196" s="5">
        <v>0</v>
      </c>
      <c r="I196" s="5">
        <f t="shared" si="18"/>
        <v>0</v>
      </c>
      <c r="J196" s="5">
        <f t="shared" si="19"/>
        <v>0</v>
      </c>
      <c r="K196" s="2"/>
    </row>
    <row r="197" spans="1:11" x14ac:dyDescent="0.25">
      <c r="A197" s="8">
        <v>186</v>
      </c>
      <c r="B197" s="9">
        <v>50192</v>
      </c>
      <c r="C197" s="5">
        <f t="shared" si="20"/>
        <v>0</v>
      </c>
      <c r="D197" s="12">
        <f t="shared" si="14"/>
        <v>0</v>
      </c>
      <c r="E197" s="3">
        <f t="shared" si="15"/>
        <v>0</v>
      </c>
      <c r="F197" s="3">
        <f t="shared" si="16"/>
        <v>0</v>
      </c>
      <c r="G197" s="5">
        <f t="shared" si="17"/>
        <v>0</v>
      </c>
      <c r="H197" s="5">
        <v>0</v>
      </c>
      <c r="I197" s="5">
        <f t="shared" si="18"/>
        <v>0</v>
      </c>
      <c r="J197" s="5">
        <f t="shared" si="19"/>
        <v>0</v>
      </c>
      <c r="K197" s="2"/>
    </row>
    <row r="198" spans="1:11" x14ac:dyDescent="0.25">
      <c r="A198" s="8">
        <v>187</v>
      </c>
      <c r="B198" s="9">
        <v>50222</v>
      </c>
      <c r="C198" s="5">
        <f t="shared" si="20"/>
        <v>0</v>
      </c>
      <c r="D198" s="12">
        <f t="shared" si="14"/>
        <v>0</v>
      </c>
      <c r="E198" s="3">
        <f t="shared" si="15"/>
        <v>0</v>
      </c>
      <c r="F198" s="3">
        <f t="shared" si="16"/>
        <v>0</v>
      </c>
      <c r="G198" s="5">
        <f t="shared" si="17"/>
        <v>0</v>
      </c>
      <c r="H198" s="5">
        <v>0</v>
      </c>
      <c r="I198" s="5">
        <f t="shared" si="18"/>
        <v>0</v>
      </c>
      <c r="J198" s="5">
        <f t="shared" si="19"/>
        <v>0</v>
      </c>
      <c r="K198" s="2"/>
    </row>
    <row r="199" spans="1:11" x14ac:dyDescent="0.25">
      <c r="A199" s="8">
        <v>188</v>
      </c>
      <c r="B199" s="9">
        <v>50253</v>
      </c>
      <c r="C199" s="5">
        <f t="shared" si="20"/>
        <v>0</v>
      </c>
      <c r="D199" s="12">
        <f t="shared" si="14"/>
        <v>0</v>
      </c>
      <c r="E199" s="3">
        <f t="shared" si="15"/>
        <v>0</v>
      </c>
      <c r="F199" s="3">
        <f t="shared" si="16"/>
        <v>0</v>
      </c>
      <c r="G199" s="5">
        <f t="shared" si="17"/>
        <v>0</v>
      </c>
      <c r="H199" s="5">
        <v>0</v>
      </c>
      <c r="I199" s="5">
        <f t="shared" si="18"/>
        <v>0</v>
      </c>
      <c r="J199" s="5">
        <f t="shared" si="19"/>
        <v>0</v>
      </c>
      <c r="K199" s="2"/>
    </row>
    <row r="200" spans="1:11" x14ac:dyDescent="0.25">
      <c r="A200" s="8">
        <v>189</v>
      </c>
      <c r="B200" s="9">
        <v>50284</v>
      </c>
      <c r="C200" s="5">
        <f t="shared" si="20"/>
        <v>0</v>
      </c>
      <c r="D200" s="12">
        <f t="shared" si="14"/>
        <v>0</v>
      </c>
      <c r="E200" s="3">
        <f t="shared" si="15"/>
        <v>0</v>
      </c>
      <c r="F200" s="3">
        <f t="shared" si="16"/>
        <v>0</v>
      </c>
      <c r="G200" s="5">
        <f t="shared" si="17"/>
        <v>0</v>
      </c>
      <c r="H200" s="5">
        <v>0</v>
      </c>
      <c r="I200" s="5">
        <f t="shared" si="18"/>
        <v>0</v>
      </c>
      <c r="J200" s="5">
        <f t="shared" si="19"/>
        <v>0</v>
      </c>
      <c r="K200" s="2"/>
    </row>
    <row r="201" spans="1:11" x14ac:dyDescent="0.25">
      <c r="A201" s="8">
        <v>190</v>
      </c>
      <c r="B201" s="9">
        <v>50314</v>
      </c>
      <c r="C201" s="5">
        <f t="shared" si="20"/>
        <v>0</v>
      </c>
      <c r="D201" s="12">
        <f t="shared" si="14"/>
        <v>0</v>
      </c>
      <c r="E201" s="3">
        <f t="shared" si="15"/>
        <v>0</v>
      </c>
      <c r="F201" s="3">
        <f t="shared" si="16"/>
        <v>0</v>
      </c>
      <c r="G201" s="5">
        <f t="shared" si="17"/>
        <v>0</v>
      </c>
      <c r="H201" s="5">
        <v>0</v>
      </c>
      <c r="I201" s="5">
        <f t="shared" si="18"/>
        <v>0</v>
      </c>
      <c r="J201" s="5">
        <f t="shared" si="19"/>
        <v>0</v>
      </c>
      <c r="K201" s="2"/>
    </row>
    <row r="202" spans="1:11" x14ac:dyDescent="0.25">
      <c r="A202" s="8">
        <v>191</v>
      </c>
      <c r="B202" s="9">
        <v>50345</v>
      </c>
      <c r="C202" s="5">
        <f t="shared" si="20"/>
        <v>0</v>
      </c>
      <c r="D202" s="12">
        <f t="shared" si="14"/>
        <v>0</v>
      </c>
      <c r="E202" s="3">
        <f t="shared" si="15"/>
        <v>0</v>
      </c>
      <c r="F202" s="3">
        <f t="shared" si="16"/>
        <v>0</v>
      </c>
      <c r="G202" s="5">
        <f t="shared" si="17"/>
        <v>0</v>
      </c>
      <c r="H202" s="5">
        <v>0</v>
      </c>
      <c r="I202" s="5">
        <f t="shared" si="18"/>
        <v>0</v>
      </c>
      <c r="J202" s="5">
        <f t="shared" si="19"/>
        <v>0</v>
      </c>
      <c r="K202" s="2"/>
    </row>
    <row r="203" spans="1:11" x14ac:dyDescent="0.25">
      <c r="A203" s="8">
        <v>192</v>
      </c>
      <c r="B203" s="9">
        <v>50375</v>
      </c>
      <c r="C203" s="5">
        <f t="shared" si="20"/>
        <v>0</v>
      </c>
      <c r="D203" s="12">
        <f t="shared" si="14"/>
        <v>0</v>
      </c>
      <c r="E203" s="3">
        <f t="shared" si="15"/>
        <v>0</v>
      </c>
      <c r="F203" s="3">
        <f t="shared" si="16"/>
        <v>0</v>
      </c>
      <c r="G203" s="5">
        <f t="shared" si="17"/>
        <v>0</v>
      </c>
      <c r="H203" s="5">
        <v>0</v>
      </c>
      <c r="I203" s="5">
        <f t="shared" si="18"/>
        <v>0</v>
      </c>
      <c r="J203" s="5">
        <f t="shared" si="19"/>
        <v>0</v>
      </c>
      <c r="K203" s="2"/>
    </row>
    <row r="204" spans="1:11" x14ac:dyDescent="0.25">
      <c r="A204" s="8">
        <v>193</v>
      </c>
      <c r="B204" s="9">
        <v>50406</v>
      </c>
      <c r="C204" s="5">
        <f t="shared" si="20"/>
        <v>0</v>
      </c>
      <c r="D204" s="12">
        <f t="shared" si="14"/>
        <v>0</v>
      </c>
      <c r="E204" s="3">
        <f t="shared" si="15"/>
        <v>0</v>
      </c>
      <c r="F204" s="3">
        <f t="shared" si="16"/>
        <v>0</v>
      </c>
      <c r="G204" s="5">
        <f t="shared" si="17"/>
        <v>0</v>
      </c>
      <c r="H204" s="5">
        <v>0</v>
      </c>
      <c r="I204" s="5">
        <f t="shared" si="18"/>
        <v>0</v>
      </c>
      <c r="J204" s="5">
        <f t="shared" si="19"/>
        <v>0</v>
      </c>
      <c r="K204" s="2"/>
    </row>
    <row r="205" spans="1:11" x14ac:dyDescent="0.25">
      <c r="A205" s="8">
        <v>194</v>
      </c>
      <c r="B205" s="9">
        <v>50437</v>
      </c>
      <c r="C205" s="5">
        <f t="shared" si="20"/>
        <v>0</v>
      </c>
      <c r="D205" s="12">
        <f t="shared" ref="D205:D268" si="21">C205*$C$6</f>
        <v>0</v>
      </c>
      <c r="E205" s="3">
        <f t="shared" ref="E205:E268" si="22">C205+D205</f>
        <v>0</v>
      </c>
      <c r="F205" s="3">
        <f t="shared" ref="F205:F268" si="23">IF(C205&gt;0,$C$4/$C$8,0)</f>
        <v>0</v>
      </c>
      <c r="G205" s="5">
        <f t="shared" ref="G205:G268" si="24">IF(C205&gt;0,F205+D205,0)</f>
        <v>0</v>
      </c>
      <c r="H205" s="5">
        <v>0</v>
      </c>
      <c r="I205" s="5">
        <f t="shared" ref="I205:I268" si="25">IF(C205&gt;0,H205+G205,0)</f>
        <v>0</v>
      </c>
      <c r="J205" s="5">
        <f t="shared" ref="J205:J268" si="26">IF(E205-I205&gt;0,ROUND(E205-I205,2),0)</f>
        <v>0</v>
      </c>
      <c r="K205" s="2"/>
    </row>
    <row r="206" spans="1:11" x14ac:dyDescent="0.25">
      <c r="A206" s="8">
        <v>195</v>
      </c>
      <c r="B206" s="9">
        <v>50465</v>
      </c>
      <c r="C206" s="5">
        <f t="shared" ref="C206:C269" si="27">IF(J205&gt;0,J205,0)</f>
        <v>0</v>
      </c>
      <c r="D206" s="12">
        <f t="shared" si="21"/>
        <v>0</v>
      </c>
      <c r="E206" s="3">
        <f t="shared" si="22"/>
        <v>0</v>
      </c>
      <c r="F206" s="3">
        <f t="shared" si="23"/>
        <v>0</v>
      </c>
      <c r="G206" s="5">
        <f t="shared" si="24"/>
        <v>0</v>
      </c>
      <c r="H206" s="5">
        <v>0</v>
      </c>
      <c r="I206" s="5">
        <f t="shared" si="25"/>
        <v>0</v>
      </c>
      <c r="J206" s="5">
        <f t="shared" si="26"/>
        <v>0</v>
      </c>
      <c r="K206" s="2"/>
    </row>
    <row r="207" spans="1:11" x14ac:dyDescent="0.25">
      <c r="A207" s="8">
        <v>196</v>
      </c>
      <c r="B207" s="9">
        <v>50496</v>
      </c>
      <c r="C207" s="5">
        <f t="shared" si="27"/>
        <v>0</v>
      </c>
      <c r="D207" s="12">
        <f t="shared" si="21"/>
        <v>0</v>
      </c>
      <c r="E207" s="3">
        <f t="shared" si="22"/>
        <v>0</v>
      </c>
      <c r="F207" s="3">
        <f t="shared" si="23"/>
        <v>0</v>
      </c>
      <c r="G207" s="5">
        <f t="shared" si="24"/>
        <v>0</v>
      </c>
      <c r="H207" s="5">
        <v>0</v>
      </c>
      <c r="I207" s="5">
        <f t="shared" si="25"/>
        <v>0</v>
      </c>
      <c r="J207" s="5">
        <f t="shared" si="26"/>
        <v>0</v>
      </c>
      <c r="K207" s="2"/>
    </row>
    <row r="208" spans="1:11" x14ac:dyDescent="0.25">
      <c r="A208" s="8">
        <v>197</v>
      </c>
      <c r="B208" s="9">
        <v>50526</v>
      </c>
      <c r="C208" s="5">
        <f t="shared" si="27"/>
        <v>0</v>
      </c>
      <c r="D208" s="12">
        <f t="shared" si="21"/>
        <v>0</v>
      </c>
      <c r="E208" s="3">
        <f t="shared" si="22"/>
        <v>0</v>
      </c>
      <c r="F208" s="3">
        <f t="shared" si="23"/>
        <v>0</v>
      </c>
      <c r="G208" s="5">
        <f t="shared" si="24"/>
        <v>0</v>
      </c>
      <c r="H208" s="5">
        <v>0</v>
      </c>
      <c r="I208" s="5">
        <f t="shared" si="25"/>
        <v>0</v>
      </c>
      <c r="J208" s="5">
        <f t="shared" si="26"/>
        <v>0</v>
      </c>
      <c r="K208" s="2"/>
    </row>
    <row r="209" spans="1:11" x14ac:dyDescent="0.25">
      <c r="A209" s="8">
        <v>198</v>
      </c>
      <c r="B209" s="9">
        <v>50557</v>
      </c>
      <c r="C209" s="5">
        <f t="shared" si="27"/>
        <v>0</v>
      </c>
      <c r="D209" s="12">
        <f t="shared" si="21"/>
        <v>0</v>
      </c>
      <c r="E209" s="3">
        <f t="shared" si="22"/>
        <v>0</v>
      </c>
      <c r="F209" s="3">
        <f t="shared" si="23"/>
        <v>0</v>
      </c>
      <c r="G209" s="5">
        <f t="shared" si="24"/>
        <v>0</v>
      </c>
      <c r="H209" s="5">
        <v>0</v>
      </c>
      <c r="I209" s="5">
        <f t="shared" si="25"/>
        <v>0</v>
      </c>
      <c r="J209" s="5">
        <f t="shared" si="26"/>
        <v>0</v>
      </c>
      <c r="K209" s="2"/>
    </row>
    <row r="210" spans="1:11" x14ac:dyDescent="0.25">
      <c r="A210" s="8">
        <v>199</v>
      </c>
      <c r="B210" s="9">
        <v>50587</v>
      </c>
      <c r="C210" s="5">
        <f t="shared" si="27"/>
        <v>0</v>
      </c>
      <c r="D210" s="12">
        <f t="shared" si="21"/>
        <v>0</v>
      </c>
      <c r="E210" s="3">
        <f t="shared" si="22"/>
        <v>0</v>
      </c>
      <c r="F210" s="3">
        <f t="shared" si="23"/>
        <v>0</v>
      </c>
      <c r="G210" s="5">
        <f t="shared" si="24"/>
        <v>0</v>
      </c>
      <c r="H210" s="5">
        <v>0</v>
      </c>
      <c r="I210" s="5">
        <f t="shared" si="25"/>
        <v>0</v>
      </c>
      <c r="J210" s="5">
        <f t="shared" si="26"/>
        <v>0</v>
      </c>
      <c r="K210" s="2"/>
    </row>
    <row r="211" spans="1:11" x14ac:dyDescent="0.25">
      <c r="A211" s="8">
        <v>200</v>
      </c>
      <c r="B211" s="9">
        <v>50618</v>
      </c>
      <c r="C211" s="5">
        <f t="shared" si="27"/>
        <v>0</v>
      </c>
      <c r="D211" s="12">
        <f t="shared" si="21"/>
        <v>0</v>
      </c>
      <c r="E211" s="3">
        <f t="shared" si="22"/>
        <v>0</v>
      </c>
      <c r="F211" s="3">
        <f t="shared" si="23"/>
        <v>0</v>
      </c>
      <c r="G211" s="5">
        <f t="shared" si="24"/>
        <v>0</v>
      </c>
      <c r="H211" s="5">
        <v>0</v>
      </c>
      <c r="I211" s="5">
        <f t="shared" si="25"/>
        <v>0</v>
      </c>
      <c r="J211" s="5">
        <f t="shared" si="26"/>
        <v>0</v>
      </c>
      <c r="K211" s="2"/>
    </row>
    <row r="212" spans="1:11" x14ac:dyDescent="0.25">
      <c r="A212" s="8">
        <v>201</v>
      </c>
      <c r="B212" s="9">
        <v>50649</v>
      </c>
      <c r="C212" s="5">
        <f t="shared" si="27"/>
        <v>0</v>
      </c>
      <c r="D212" s="12">
        <f t="shared" si="21"/>
        <v>0</v>
      </c>
      <c r="E212" s="3">
        <f t="shared" si="22"/>
        <v>0</v>
      </c>
      <c r="F212" s="3">
        <f t="shared" si="23"/>
        <v>0</v>
      </c>
      <c r="G212" s="5">
        <f t="shared" si="24"/>
        <v>0</v>
      </c>
      <c r="H212" s="5">
        <v>0</v>
      </c>
      <c r="I212" s="5">
        <f t="shared" si="25"/>
        <v>0</v>
      </c>
      <c r="J212" s="5">
        <f t="shared" si="26"/>
        <v>0</v>
      </c>
      <c r="K212" s="2"/>
    </row>
    <row r="213" spans="1:11" x14ac:dyDescent="0.25">
      <c r="A213" s="8">
        <v>202</v>
      </c>
      <c r="B213" s="9">
        <v>50679</v>
      </c>
      <c r="C213" s="5">
        <f t="shared" si="27"/>
        <v>0</v>
      </c>
      <c r="D213" s="12">
        <f t="shared" si="21"/>
        <v>0</v>
      </c>
      <c r="E213" s="3">
        <f t="shared" si="22"/>
        <v>0</v>
      </c>
      <c r="F213" s="3">
        <f t="shared" si="23"/>
        <v>0</v>
      </c>
      <c r="G213" s="5">
        <f t="shared" si="24"/>
        <v>0</v>
      </c>
      <c r="H213" s="5">
        <v>0</v>
      </c>
      <c r="I213" s="5">
        <f t="shared" si="25"/>
        <v>0</v>
      </c>
      <c r="J213" s="5">
        <f t="shared" si="26"/>
        <v>0</v>
      </c>
      <c r="K213" s="2"/>
    </row>
    <row r="214" spans="1:11" x14ac:dyDescent="0.25">
      <c r="A214" s="8">
        <v>203</v>
      </c>
      <c r="B214" s="9">
        <v>50710</v>
      </c>
      <c r="C214" s="5">
        <f t="shared" si="27"/>
        <v>0</v>
      </c>
      <c r="D214" s="12">
        <f t="shared" si="21"/>
        <v>0</v>
      </c>
      <c r="E214" s="3">
        <f t="shared" si="22"/>
        <v>0</v>
      </c>
      <c r="F214" s="3">
        <f t="shared" si="23"/>
        <v>0</v>
      </c>
      <c r="G214" s="5">
        <f t="shared" si="24"/>
        <v>0</v>
      </c>
      <c r="H214" s="5">
        <v>0</v>
      </c>
      <c r="I214" s="5">
        <f t="shared" si="25"/>
        <v>0</v>
      </c>
      <c r="J214" s="5">
        <f t="shared" si="26"/>
        <v>0</v>
      </c>
      <c r="K214" s="2"/>
    </row>
    <row r="215" spans="1:11" x14ac:dyDescent="0.25">
      <c r="A215" s="8">
        <v>204</v>
      </c>
      <c r="B215" s="9">
        <v>50740</v>
      </c>
      <c r="C215" s="5">
        <f t="shared" si="27"/>
        <v>0</v>
      </c>
      <c r="D215" s="12">
        <f t="shared" si="21"/>
        <v>0</v>
      </c>
      <c r="E215" s="3">
        <f t="shared" si="22"/>
        <v>0</v>
      </c>
      <c r="F215" s="3">
        <f t="shared" si="23"/>
        <v>0</v>
      </c>
      <c r="G215" s="5">
        <f t="shared" si="24"/>
        <v>0</v>
      </c>
      <c r="H215" s="5">
        <v>0</v>
      </c>
      <c r="I215" s="5">
        <f t="shared" si="25"/>
        <v>0</v>
      </c>
      <c r="J215" s="5">
        <f t="shared" si="26"/>
        <v>0</v>
      </c>
      <c r="K215" s="2"/>
    </row>
    <row r="216" spans="1:11" x14ac:dyDescent="0.25">
      <c r="A216" s="8">
        <v>205</v>
      </c>
      <c r="B216" s="9">
        <v>50771</v>
      </c>
      <c r="C216" s="5">
        <f t="shared" si="27"/>
        <v>0</v>
      </c>
      <c r="D216" s="12">
        <f t="shared" si="21"/>
        <v>0</v>
      </c>
      <c r="E216" s="3">
        <f t="shared" si="22"/>
        <v>0</v>
      </c>
      <c r="F216" s="3">
        <f t="shared" si="23"/>
        <v>0</v>
      </c>
      <c r="G216" s="5">
        <f t="shared" si="24"/>
        <v>0</v>
      </c>
      <c r="H216" s="5">
        <v>0</v>
      </c>
      <c r="I216" s="5">
        <f t="shared" si="25"/>
        <v>0</v>
      </c>
      <c r="J216" s="5">
        <f t="shared" si="26"/>
        <v>0</v>
      </c>
      <c r="K216" s="2"/>
    </row>
    <row r="217" spans="1:11" x14ac:dyDescent="0.25">
      <c r="A217" s="8">
        <v>206</v>
      </c>
      <c r="B217" s="9">
        <v>50802</v>
      </c>
      <c r="C217" s="5">
        <f t="shared" si="27"/>
        <v>0</v>
      </c>
      <c r="D217" s="12">
        <f t="shared" si="21"/>
        <v>0</v>
      </c>
      <c r="E217" s="3">
        <f t="shared" si="22"/>
        <v>0</v>
      </c>
      <c r="F217" s="3">
        <f t="shared" si="23"/>
        <v>0</v>
      </c>
      <c r="G217" s="5">
        <f t="shared" si="24"/>
        <v>0</v>
      </c>
      <c r="H217" s="5">
        <v>0</v>
      </c>
      <c r="I217" s="5">
        <f t="shared" si="25"/>
        <v>0</v>
      </c>
      <c r="J217" s="5">
        <f t="shared" si="26"/>
        <v>0</v>
      </c>
      <c r="K217" s="2"/>
    </row>
    <row r="218" spans="1:11" x14ac:dyDescent="0.25">
      <c r="A218" s="8">
        <v>207</v>
      </c>
      <c r="B218" s="9">
        <v>50830</v>
      </c>
      <c r="C218" s="5">
        <f t="shared" si="27"/>
        <v>0</v>
      </c>
      <c r="D218" s="12">
        <f t="shared" si="21"/>
        <v>0</v>
      </c>
      <c r="E218" s="3">
        <f t="shared" si="22"/>
        <v>0</v>
      </c>
      <c r="F218" s="3">
        <f t="shared" si="23"/>
        <v>0</v>
      </c>
      <c r="G218" s="5">
        <f t="shared" si="24"/>
        <v>0</v>
      </c>
      <c r="H218" s="5">
        <v>0</v>
      </c>
      <c r="I218" s="5">
        <f t="shared" si="25"/>
        <v>0</v>
      </c>
      <c r="J218" s="5">
        <f t="shared" si="26"/>
        <v>0</v>
      </c>
      <c r="K218" s="2"/>
    </row>
    <row r="219" spans="1:11" x14ac:dyDescent="0.25">
      <c r="A219" s="8">
        <v>208</v>
      </c>
      <c r="B219" s="9">
        <v>50861</v>
      </c>
      <c r="C219" s="5">
        <f t="shared" si="27"/>
        <v>0</v>
      </c>
      <c r="D219" s="12">
        <f t="shared" si="21"/>
        <v>0</v>
      </c>
      <c r="E219" s="3">
        <f t="shared" si="22"/>
        <v>0</v>
      </c>
      <c r="F219" s="3">
        <f t="shared" si="23"/>
        <v>0</v>
      </c>
      <c r="G219" s="5">
        <f t="shared" si="24"/>
        <v>0</v>
      </c>
      <c r="H219" s="5">
        <v>0</v>
      </c>
      <c r="I219" s="5">
        <f t="shared" si="25"/>
        <v>0</v>
      </c>
      <c r="J219" s="5">
        <f t="shared" si="26"/>
        <v>0</v>
      </c>
      <c r="K219" s="2"/>
    </row>
    <row r="220" spans="1:11" x14ac:dyDescent="0.25">
      <c r="A220" s="8">
        <v>209</v>
      </c>
      <c r="B220" s="9">
        <v>50891</v>
      </c>
      <c r="C220" s="5">
        <f t="shared" si="27"/>
        <v>0</v>
      </c>
      <c r="D220" s="12">
        <f t="shared" si="21"/>
        <v>0</v>
      </c>
      <c r="E220" s="3">
        <f t="shared" si="22"/>
        <v>0</v>
      </c>
      <c r="F220" s="3">
        <f t="shared" si="23"/>
        <v>0</v>
      </c>
      <c r="G220" s="5">
        <f t="shared" si="24"/>
        <v>0</v>
      </c>
      <c r="H220" s="5">
        <v>0</v>
      </c>
      <c r="I220" s="5">
        <f t="shared" si="25"/>
        <v>0</v>
      </c>
      <c r="J220" s="5">
        <f t="shared" si="26"/>
        <v>0</v>
      </c>
      <c r="K220" s="2"/>
    </row>
    <row r="221" spans="1:11" x14ac:dyDescent="0.25">
      <c r="A221" s="8">
        <v>210</v>
      </c>
      <c r="B221" s="9">
        <v>50922</v>
      </c>
      <c r="C221" s="5">
        <f t="shared" si="27"/>
        <v>0</v>
      </c>
      <c r="D221" s="12">
        <f t="shared" si="21"/>
        <v>0</v>
      </c>
      <c r="E221" s="3">
        <f t="shared" si="22"/>
        <v>0</v>
      </c>
      <c r="F221" s="3">
        <f t="shared" si="23"/>
        <v>0</v>
      </c>
      <c r="G221" s="5">
        <f t="shared" si="24"/>
        <v>0</v>
      </c>
      <c r="H221" s="5">
        <v>0</v>
      </c>
      <c r="I221" s="5">
        <f t="shared" si="25"/>
        <v>0</v>
      </c>
      <c r="J221" s="5">
        <f t="shared" si="26"/>
        <v>0</v>
      </c>
      <c r="K221" s="2"/>
    </row>
    <row r="222" spans="1:11" x14ac:dyDescent="0.25">
      <c r="A222" s="8">
        <v>211</v>
      </c>
      <c r="B222" s="9">
        <v>50952</v>
      </c>
      <c r="C222" s="5">
        <f t="shared" si="27"/>
        <v>0</v>
      </c>
      <c r="D222" s="12">
        <f t="shared" si="21"/>
        <v>0</v>
      </c>
      <c r="E222" s="3">
        <f t="shared" si="22"/>
        <v>0</v>
      </c>
      <c r="F222" s="3">
        <f t="shared" si="23"/>
        <v>0</v>
      </c>
      <c r="G222" s="5">
        <f t="shared" si="24"/>
        <v>0</v>
      </c>
      <c r="H222" s="5">
        <v>0</v>
      </c>
      <c r="I222" s="5">
        <f t="shared" si="25"/>
        <v>0</v>
      </c>
      <c r="J222" s="5">
        <f t="shared" si="26"/>
        <v>0</v>
      </c>
      <c r="K222" s="2"/>
    </row>
    <row r="223" spans="1:11" x14ac:dyDescent="0.25">
      <c r="A223" s="8">
        <v>212</v>
      </c>
      <c r="B223" s="9">
        <v>50983</v>
      </c>
      <c r="C223" s="5">
        <f t="shared" si="27"/>
        <v>0</v>
      </c>
      <c r="D223" s="12">
        <f t="shared" si="21"/>
        <v>0</v>
      </c>
      <c r="E223" s="3">
        <f t="shared" si="22"/>
        <v>0</v>
      </c>
      <c r="F223" s="3">
        <f t="shared" si="23"/>
        <v>0</v>
      </c>
      <c r="G223" s="5">
        <f t="shared" si="24"/>
        <v>0</v>
      </c>
      <c r="H223" s="5">
        <v>0</v>
      </c>
      <c r="I223" s="5">
        <f t="shared" si="25"/>
        <v>0</v>
      </c>
      <c r="J223" s="5">
        <f t="shared" si="26"/>
        <v>0</v>
      </c>
      <c r="K223" s="2"/>
    </row>
    <row r="224" spans="1:11" x14ac:dyDescent="0.25">
      <c r="A224" s="8">
        <v>213</v>
      </c>
      <c r="B224" s="9">
        <v>51014</v>
      </c>
      <c r="C224" s="5">
        <f t="shared" si="27"/>
        <v>0</v>
      </c>
      <c r="D224" s="12">
        <f t="shared" si="21"/>
        <v>0</v>
      </c>
      <c r="E224" s="3">
        <f t="shared" si="22"/>
        <v>0</v>
      </c>
      <c r="F224" s="3">
        <f t="shared" si="23"/>
        <v>0</v>
      </c>
      <c r="G224" s="5">
        <f t="shared" si="24"/>
        <v>0</v>
      </c>
      <c r="H224" s="5">
        <v>0</v>
      </c>
      <c r="I224" s="5">
        <f t="shared" si="25"/>
        <v>0</v>
      </c>
      <c r="J224" s="5">
        <f t="shared" si="26"/>
        <v>0</v>
      </c>
      <c r="K224" s="2"/>
    </row>
    <row r="225" spans="1:11" x14ac:dyDescent="0.25">
      <c r="A225" s="8">
        <v>214</v>
      </c>
      <c r="B225" s="9">
        <v>51044</v>
      </c>
      <c r="C225" s="5">
        <f t="shared" si="27"/>
        <v>0</v>
      </c>
      <c r="D225" s="12">
        <f t="shared" si="21"/>
        <v>0</v>
      </c>
      <c r="E225" s="3">
        <f t="shared" si="22"/>
        <v>0</v>
      </c>
      <c r="F225" s="3">
        <f t="shared" si="23"/>
        <v>0</v>
      </c>
      <c r="G225" s="5">
        <f t="shared" si="24"/>
        <v>0</v>
      </c>
      <c r="H225" s="5">
        <v>0</v>
      </c>
      <c r="I225" s="5">
        <f t="shared" si="25"/>
        <v>0</v>
      </c>
      <c r="J225" s="5">
        <f t="shared" si="26"/>
        <v>0</v>
      </c>
      <c r="K225" s="2"/>
    </row>
    <row r="226" spans="1:11" x14ac:dyDescent="0.25">
      <c r="A226" s="8">
        <v>215</v>
      </c>
      <c r="B226" s="9">
        <v>51075</v>
      </c>
      <c r="C226" s="5">
        <f t="shared" si="27"/>
        <v>0</v>
      </c>
      <c r="D226" s="12">
        <f t="shared" si="21"/>
        <v>0</v>
      </c>
      <c r="E226" s="3">
        <f t="shared" si="22"/>
        <v>0</v>
      </c>
      <c r="F226" s="3">
        <f t="shared" si="23"/>
        <v>0</v>
      </c>
      <c r="G226" s="5">
        <f t="shared" si="24"/>
        <v>0</v>
      </c>
      <c r="H226" s="5">
        <v>0</v>
      </c>
      <c r="I226" s="5">
        <f t="shared" si="25"/>
        <v>0</v>
      </c>
      <c r="J226" s="5">
        <f t="shared" si="26"/>
        <v>0</v>
      </c>
      <c r="K226" s="2"/>
    </row>
    <row r="227" spans="1:11" x14ac:dyDescent="0.25">
      <c r="A227" s="8">
        <v>216</v>
      </c>
      <c r="B227" s="9">
        <v>51105</v>
      </c>
      <c r="C227" s="5">
        <f t="shared" si="27"/>
        <v>0</v>
      </c>
      <c r="D227" s="12">
        <f t="shared" si="21"/>
        <v>0</v>
      </c>
      <c r="E227" s="3">
        <f t="shared" si="22"/>
        <v>0</v>
      </c>
      <c r="F227" s="3">
        <f t="shared" si="23"/>
        <v>0</v>
      </c>
      <c r="G227" s="5">
        <f t="shared" si="24"/>
        <v>0</v>
      </c>
      <c r="H227" s="5">
        <v>0</v>
      </c>
      <c r="I227" s="5">
        <f t="shared" si="25"/>
        <v>0</v>
      </c>
      <c r="J227" s="5">
        <f t="shared" si="26"/>
        <v>0</v>
      </c>
      <c r="K227" s="2"/>
    </row>
    <row r="228" spans="1:11" x14ac:dyDescent="0.25">
      <c r="A228" s="8">
        <v>217</v>
      </c>
      <c r="B228" s="9">
        <v>51136</v>
      </c>
      <c r="C228" s="5">
        <f t="shared" si="27"/>
        <v>0</v>
      </c>
      <c r="D228" s="12">
        <f t="shared" si="21"/>
        <v>0</v>
      </c>
      <c r="E228" s="3">
        <f t="shared" si="22"/>
        <v>0</v>
      </c>
      <c r="F228" s="3">
        <f t="shared" si="23"/>
        <v>0</v>
      </c>
      <c r="G228" s="5">
        <f t="shared" si="24"/>
        <v>0</v>
      </c>
      <c r="H228" s="5">
        <v>0</v>
      </c>
      <c r="I228" s="5">
        <f t="shared" si="25"/>
        <v>0</v>
      </c>
      <c r="J228" s="5">
        <f t="shared" si="26"/>
        <v>0</v>
      </c>
      <c r="K228" s="2"/>
    </row>
    <row r="229" spans="1:11" x14ac:dyDescent="0.25">
      <c r="A229" s="8">
        <v>218</v>
      </c>
      <c r="B229" s="9">
        <v>51167</v>
      </c>
      <c r="C229" s="5">
        <f t="shared" si="27"/>
        <v>0</v>
      </c>
      <c r="D229" s="12">
        <f t="shared" si="21"/>
        <v>0</v>
      </c>
      <c r="E229" s="3">
        <f t="shared" si="22"/>
        <v>0</v>
      </c>
      <c r="F229" s="3">
        <f t="shared" si="23"/>
        <v>0</v>
      </c>
      <c r="G229" s="5">
        <f t="shared" si="24"/>
        <v>0</v>
      </c>
      <c r="H229" s="5">
        <v>0</v>
      </c>
      <c r="I229" s="5">
        <f t="shared" si="25"/>
        <v>0</v>
      </c>
      <c r="J229" s="5">
        <f t="shared" si="26"/>
        <v>0</v>
      </c>
      <c r="K229" s="2"/>
    </row>
    <row r="230" spans="1:11" x14ac:dyDescent="0.25">
      <c r="A230" s="8">
        <v>219</v>
      </c>
      <c r="B230" s="9">
        <v>51196</v>
      </c>
      <c r="C230" s="5">
        <f t="shared" si="27"/>
        <v>0</v>
      </c>
      <c r="D230" s="12">
        <f t="shared" si="21"/>
        <v>0</v>
      </c>
      <c r="E230" s="3">
        <f t="shared" si="22"/>
        <v>0</v>
      </c>
      <c r="F230" s="3">
        <f t="shared" si="23"/>
        <v>0</v>
      </c>
      <c r="G230" s="5">
        <f t="shared" si="24"/>
        <v>0</v>
      </c>
      <c r="H230" s="5">
        <v>0</v>
      </c>
      <c r="I230" s="5">
        <f t="shared" si="25"/>
        <v>0</v>
      </c>
      <c r="J230" s="5">
        <f t="shared" si="26"/>
        <v>0</v>
      </c>
      <c r="K230" s="2"/>
    </row>
    <row r="231" spans="1:11" x14ac:dyDescent="0.25">
      <c r="A231" s="8">
        <v>220</v>
      </c>
      <c r="B231" s="9">
        <v>51227</v>
      </c>
      <c r="C231" s="5">
        <f t="shared" si="27"/>
        <v>0</v>
      </c>
      <c r="D231" s="12">
        <f t="shared" si="21"/>
        <v>0</v>
      </c>
      <c r="E231" s="3">
        <f t="shared" si="22"/>
        <v>0</v>
      </c>
      <c r="F231" s="3">
        <f t="shared" si="23"/>
        <v>0</v>
      </c>
      <c r="G231" s="5">
        <f t="shared" si="24"/>
        <v>0</v>
      </c>
      <c r="H231" s="5">
        <v>0</v>
      </c>
      <c r="I231" s="5">
        <f t="shared" si="25"/>
        <v>0</v>
      </c>
      <c r="J231" s="5">
        <f t="shared" si="26"/>
        <v>0</v>
      </c>
      <c r="K231" s="2"/>
    </row>
    <row r="232" spans="1:11" x14ac:dyDescent="0.25">
      <c r="A232" s="8">
        <v>221</v>
      </c>
      <c r="B232" s="9">
        <v>51257</v>
      </c>
      <c r="C232" s="5">
        <f t="shared" si="27"/>
        <v>0</v>
      </c>
      <c r="D232" s="12">
        <f t="shared" si="21"/>
        <v>0</v>
      </c>
      <c r="E232" s="3">
        <f t="shared" si="22"/>
        <v>0</v>
      </c>
      <c r="F232" s="3">
        <f t="shared" si="23"/>
        <v>0</v>
      </c>
      <c r="G232" s="5">
        <f t="shared" si="24"/>
        <v>0</v>
      </c>
      <c r="H232" s="5">
        <v>0</v>
      </c>
      <c r="I232" s="5">
        <f t="shared" si="25"/>
        <v>0</v>
      </c>
      <c r="J232" s="5">
        <f t="shared" si="26"/>
        <v>0</v>
      </c>
      <c r="K232" s="2"/>
    </row>
    <row r="233" spans="1:11" x14ac:dyDescent="0.25">
      <c r="A233" s="8">
        <v>222</v>
      </c>
      <c r="B233" s="9">
        <v>51288</v>
      </c>
      <c r="C233" s="5">
        <f t="shared" si="27"/>
        <v>0</v>
      </c>
      <c r="D233" s="12">
        <f t="shared" si="21"/>
        <v>0</v>
      </c>
      <c r="E233" s="3">
        <f t="shared" si="22"/>
        <v>0</v>
      </c>
      <c r="F233" s="3">
        <f t="shared" si="23"/>
        <v>0</v>
      </c>
      <c r="G233" s="5">
        <f t="shared" si="24"/>
        <v>0</v>
      </c>
      <c r="H233" s="5">
        <v>0</v>
      </c>
      <c r="I233" s="5">
        <f t="shared" si="25"/>
        <v>0</v>
      </c>
      <c r="J233" s="5">
        <f t="shared" si="26"/>
        <v>0</v>
      </c>
      <c r="K233" s="2"/>
    </row>
    <row r="234" spans="1:11" x14ac:dyDescent="0.25">
      <c r="A234" s="8">
        <v>223</v>
      </c>
      <c r="B234" s="9">
        <v>51318</v>
      </c>
      <c r="C234" s="5">
        <f t="shared" si="27"/>
        <v>0</v>
      </c>
      <c r="D234" s="12">
        <f t="shared" si="21"/>
        <v>0</v>
      </c>
      <c r="E234" s="3">
        <f t="shared" si="22"/>
        <v>0</v>
      </c>
      <c r="F234" s="3">
        <f t="shared" si="23"/>
        <v>0</v>
      </c>
      <c r="G234" s="5">
        <f t="shared" si="24"/>
        <v>0</v>
      </c>
      <c r="H234" s="5">
        <v>0</v>
      </c>
      <c r="I234" s="5">
        <f t="shared" si="25"/>
        <v>0</v>
      </c>
      <c r="J234" s="5">
        <f t="shared" si="26"/>
        <v>0</v>
      </c>
      <c r="K234" s="2"/>
    </row>
    <row r="235" spans="1:11" x14ac:dyDescent="0.25">
      <c r="A235" s="8">
        <v>224</v>
      </c>
      <c r="B235" s="9">
        <v>51349</v>
      </c>
      <c r="C235" s="5">
        <f t="shared" si="27"/>
        <v>0</v>
      </c>
      <c r="D235" s="12">
        <f t="shared" si="21"/>
        <v>0</v>
      </c>
      <c r="E235" s="3">
        <f t="shared" si="22"/>
        <v>0</v>
      </c>
      <c r="F235" s="3">
        <f t="shared" si="23"/>
        <v>0</v>
      </c>
      <c r="G235" s="5">
        <f t="shared" si="24"/>
        <v>0</v>
      </c>
      <c r="H235" s="5">
        <v>0</v>
      </c>
      <c r="I235" s="5">
        <f t="shared" si="25"/>
        <v>0</v>
      </c>
      <c r="J235" s="5">
        <f t="shared" si="26"/>
        <v>0</v>
      </c>
      <c r="K235" s="2"/>
    </row>
    <row r="236" spans="1:11" x14ac:dyDescent="0.25">
      <c r="A236" s="8">
        <v>225</v>
      </c>
      <c r="B236" s="9">
        <v>51380</v>
      </c>
      <c r="C236" s="5">
        <f t="shared" si="27"/>
        <v>0</v>
      </c>
      <c r="D236" s="12">
        <f t="shared" si="21"/>
        <v>0</v>
      </c>
      <c r="E236" s="3">
        <f t="shared" si="22"/>
        <v>0</v>
      </c>
      <c r="F236" s="3">
        <f t="shared" si="23"/>
        <v>0</v>
      </c>
      <c r="G236" s="5">
        <f t="shared" si="24"/>
        <v>0</v>
      </c>
      <c r="H236" s="5">
        <v>0</v>
      </c>
      <c r="I236" s="5">
        <f t="shared" si="25"/>
        <v>0</v>
      </c>
      <c r="J236" s="5">
        <f t="shared" si="26"/>
        <v>0</v>
      </c>
      <c r="K236" s="2"/>
    </row>
    <row r="237" spans="1:11" x14ac:dyDescent="0.25">
      <c r="A237" s="8">
        <v>226</v>
      </c>
      <c r="B237" s="9">
        <v>51410</v>
      </c>
      <c r="C237" s="5">
        <f t="shared" si="27"/>
        <v>0</v>
      </c>
      <c r="D237" s="12">
        <f t="shared" si="21"/>
        <v>0</v>
      </c>
      <c r="E237" s="3">
        <f t="shared" si="22"/>
        <v>0</v>
      </c>
      <c r="F237" s="3">
        <f t="shared" si="23"/>
        <v>0</v>
      </c>
      <c r="G237" s="5">
        <f t="shared" si="24"/>
        <v>0</v>
      </c>
      <c r="H237" s="5">
        <v>0</v>
      </c>
      <c r="I237" s="5">
        <f t="shared" si="25"/>
        <v>0</v>
      </c>
      <c r="J237" s="5">
        <f t="shared" si="26"/>
        <v>0</v>
      </c>
      <c r="K237" s="2"/>
    </row>
    <row r="238" spans="1:11" x14ac:dyDescent="0.25">
      <c r="A238" s="8">
        <v>227</v>
      </c>
      <c r="B238" s="9">
        <v>51441</v>
      </c>
      <c r="C238" s="5">
        <f t="shared" si="27"/>
        <v>0</v>
      </c>
      <c r="D238" s="12">
        <f t="shared" si="21"/>
        <v>0</v>
      </c>
      <c r="E238" s="3">
        <f t="shared" si="22"/>
        <v>0</v>
      </c>
      <c r="F238" s="3">
        <f t="shared" si="23"/>
        <v>0</v>
      </c>
      <c r="G238" s="5">
        <f t="shared" si="24"/>
        <v>0</v>
      </c>
      <c r="H238" s="5">
        <v>0</v>
      </c>
      <c r="I238" s="5">
        <f t="shared" si="25"/>
        <v>0</v>
      </c>
      <c r="J238" s="5">
        <f t="shared" si="26"/>
        <v>0</v>
      </c>
      <c r="K238" s="2"/>
    </row>
    <row r="239" spans="1:11" x14ac:dyDescent="0.25">
      <c r="A239" s="8">
        <v>228</v>
      </c>
      <c r="B239" s="9">
        <v>51471</v>
      </c>
      <c r="C239" s="5">
        <f t="shared" si="27"/>
        <v>0</v>
      </c>
      <c r="D239" s="12">
        <f t="shared" si="21"/>
        <v>0</v>
      </c>
      <c r="E239" s="3">
        <f t="shared" si="22"/>
        <v>0</v>
      </c>
      <c r="F239" s="3">
        <f t="shared" si="23"/>
        <v>0</v>
      </c>
      <c r="G239" s="5">
        <f t="shared" si="24"/>
        <v>0</v>
      </c>
      <c r="H239" s="5">
        <v>0</v>
      </c>
      <c r="I239" s="5">
        <f t="shared" si="25"/>
        <v>0</v>
      </c>
      <c r="J239" s="5">
        <f t="shared" si="26"/>
        <v>0</v>
      </c>
      <c r="K239" s="2"/>
    </row>
    <row r="240" spans="1:11" x14ac:dyDescent="0.25">
      <c r="A240" s="8">
        <v>229</v>
      </c>
      <c r="B240" s="9">
        <v>51502</v>
      </c>
      <c r="C240" s="5">
        <f t="shared" si="27"/>
        <v>0</v>
      </c>
      <c r="D240" s="12">
        <f t="shared" si="21"/>
        <v>0</v>
      </c>
      <c r="E240" s="3">
        <f t="shared" si="22"/>
        <v>0</v>
      </c>
      <c r="F240" s="3">
        <f t="shared" si="23"/>
        <v>0</v>
      </c>
      <c r="G240" s="5">
        <f t="shared" si="24"/>
        <v>0</v>
      </c>
      <c r="H240" s="5">
        <v>0</v>
      </c>
      <c r="I240" s="5">
        <f t="shared" si="25"/>
        <v>0</v>
      </c>
      <c r="J240" s="5">
        <f t="shared" si="26"/>
        <v>0</v>
      </c>
      <c r="K240" s="2"/>
    </row>
    <row r="241" spans="1:11" x14ac:dyDescent="0.25">
      <c r="A241" s="8">
        <v>230</v>
      </c>
      <c r="B241" s="9">
        <v>51533</v>
      </c>
      <c r="C241" s="5">
        <f t="shared" si="27"/>
        <v>0</v>
      </c>
      <c r="D241" s="12">
        <f t="shared" si="21"/>
        <v>0</v>
      </c>
      <c r="E241" s="3">
        <f t="shared" si="22"/>
        <v>0</v>
      </c>
      <c r="F241" s="3">
        <f t="shared" si="23"/>
        <v>0</v>
      </c>
      <c r="G241" s="5">
        <f t="shared" si="24"/>
        <v>0</v>
      </c>
      <c r="H241" s="5">
        <v>0</v>
      </c>
      <c r="I241" s="5">
        <f t="shared" si="25"/>
        <v>0</v>
      </c>
      <c r="J241" s="5">
        <f t="shared" si="26"/>
        <v>0</v>
      </c>
      <c r="K241" s="2"/>
    </row>
    <row r="242" spans="1:11" x14ac:dyDescent="0.25">
      <c r="A242" s="8">
        <v>231</v>
      </c>
      <c r="B242" s="9">
        <v>51561</v>
      </c>
      <c r="C242" s="5">
        <f t="shared" si="27"/>
        <v>0</v>
      </c>
      <c r="D242" s="12">
        <f t="shared" si="21"/>
        <v>0</v>
      </c>
      <c r="E242" s="3">
        <f t="shared" si="22"/>
        <v>0</v>
      </c>
      <c r="F242" s="3">
        <f t="shared" si="23"/>
        <v>0</v>
      </c>
      <c r="G242" s="5">
        <f t="shared" si="24"/>
        <v>0</v>
      </c>
      <c r="H242" s="5">
        <v>0</v>
      </c>
      <c r="I242" s="5">
        <f t="shared" si="25"/>
        <v>0</v>
      </c>
      <c r="J242" s="5">
        <f t="shared" si="26"/>
        <v>0</v>
      </c>
      <c r="K242" s="2"/>
    </row>
    <row r="243" spans="1:11" x14ac:dyDescent="0.25">
      <c r="A243" s="8">
        <v>232</v>
      </c>
      <c r="B243" s="9">
        <v>51592</v>
      </c>
      <c r="C243" s="5">
        <f t="shared" si="27"/>
        <v>0</v>
      </c>
      <c r="D243" s="12">
        <f t="shared" si="21"/>
        <v>0</v>
      </c>
      <c r="E243" s="3">
        <f t="shared" si="22"/>
        <v>0</v>
      </c>
      <c r="F243" s="3">
        <f t="shared" si="23"/>
        <v>0</v>
      </c>
      <c r="G243" s="5">
        <f t="shared" si="24"/>
        <v>0</v>
      </c>
      <c r="H243" s="5">
        <v>0</v>
      </c>
      <c r="I243" s="5">
        <f t="shared" si="25"/>
        <v>0</v>
      </c>
      <c r="J243" s="5">
        <f t="shared" si="26"/>
        <v>0</v>
      </c>
      <c r="K243" s="2"/>
    </row>
    <row r="244" spans="1:11" x14ac:dyDescent="0.25">
      <c r="A244" s="8">
        <v>233</v>
      </c>
      <c r="B244" s="9">
        <v>51622</v>
      </c>
      <c r="C244" s="5">
        <f t="shared" si="27"/>
        <v>0</v>
      </c>
      <c r="D244" s="12">
        <f t="shared" si="21"/>
        <v>0</v>
      </c>
      <c r="E244" s="3">
        <f t="shared" si="22"/>
        <v>0</v>
      </c>
      <c r="F244" s="3">
        <f t="shared" si="23"/>
        <v>0</v>
      </c>
      <c r="G244" s="5">
        <f t="shared" si="24"/>
        <v>0</v>
      </c>
      <c r="H244" s="5">
        <v>0</v>
      </c>
      <c r="I244" s="5">
        <f t="shared" si="25"/>
        <v>0</v>
      </c>
      <c r="J244" s="5">
        <f t="shared" si="26"/>
        <v>0</v>
      </c>
      <c r="K244" s="2"/>
    </row>
    <row r="245" spans="1:11" x14ac:dyDescent="0.25">
      <c r="A245" s="8">
        <v>234</v>
      </c>
      <c r="B245" s="9">
        <v>51653</v>
      </c>
      <c r="C245" s="5">
        <f t="shared" si="27"/>
        <v>0</v>
      </c>
      <c r="D245" s="12">
        <f t="shared" si="21"/>
        <v>0</v>
      </c>
      <c r="E245" s="3">
        <f t="shared" si="22"/>
        <v>0</v>
      </c>
      <c r="F245" s="3">
        <f t="shared" si="23"/>
        <v>0</v>
      </c>
      <c r="G245" s="5">
        <f t="shared" si="24"/>
        <v>0</v>
      </c>
      <c r="H245" s="5">
        <v>0</v>
      </c>
      <c r="I245" s="5">
        <f t="shared" si="25"/>
        <v>0</v>
      </c>
      <c r="J245" s="5">
        <f t="shared" si="26"/>
        <v>0</v>
      </c>
      <c r="K245" s="2"/>
    </row>
    <row r="246" spans="1:11" x14ac:dyDescent="0.25">
      <c r="A246" s="8">
        <v>235</v>
      </c>
      <c r="B246" s="9">
        <v>51683</v>
      </c>
      <c r="C246" s="5">
        <f t="shared" si="27"/>
        <v>0</v>
      </c>
      <c r="D246" s="12">
        <f t="shared" si="21"/>
        <v>0</v>
      </c>
      <c r="E246" s="3">
        <f t="shared" si="22"/>
        <v>0</v>
      </c>
      <c r="F246" s="3">
        <f t="shared" si="23"/>
        <v>0</v>
      </c>
      <c r="G246" s="5">
        <f t="shared" si="24"/>
        <v>0</v>
      </c>
      <c r="H246" s="5">
        <v>0</v>
      </c>
      <c r="I246" s="5">
        <f t="shared" si="25"/>
        <v>0</v>
      </c>
      <c r="J246" s="5">
        <f t="shared" si="26"/>
        <v>0</v>
      </c>
      <c r="K246" s="2"/>
    </row>
    <row r="247" spans="1:11" x14ac:dyDescent="0.25">
      <c r="A247" s="8">
        <v>236</v>
      </c>
      <c r="B247" s="9">
        <v>51714</v>
      </c>
      <c r="C247" s="5">
        <f t="shared" si="27"/>
        <v>0</v>
      </c>
      <c r="D247" s="12">
        <f t="shared" si="21"/>
        <v>0</v>
      </c>
      <c r="E247" s="3">
        <f t="shared" si="22"/>
        <v>0</v>
      </c>
      <c r="F247" s="3">
        <f t="shared" si="23"/>
        <v>0</v>
      </c>
      <c r="G247" s="5">
        <f t="shared" si="24"/>
        <v>0</v>
      </c>
      <c r="H247" s="5">
        <v>0</v>
      </c>
      <c r="I247" s="5">
        <f t="shared" si="25"/>
        <v>0</v>
      </c>
      <c r="J247" s="5">
        <f t="shared" si="26"/>
        <v>0</v>
      </c>
      <c r="K247" s="2"/>
    </row>
    <row r="248" spans="1:11" x14ac:dyDescent="0.25">
      <c r="A248" s="8">
        <v>237</v>
      </c>
      <c r="B248" s="9">
        <v>51745</v>
      </c>
      <c r="C248" s="5">
        <f t="shared" si="27"/>
        <v>0</v>
      </c>
      <c r="D248" s="12">
        <f t="shared" si="21"/>
        <v>0</v>
      </c>
      <c r="E248" s="3">
        <f t="shared" si="22"/>
        <v>0</v>
      </c>
      <c r="F248" s="3">
        <f t="shared" si="23"/>
        <v>0</v>
      </c>
      <c r="G248" s="5">
        <f t="shared" si="24"/>
        <v>0</v>
      </c>
      <c r="H248" s="5">
        <v>0</v>
      </c>
      <c r="I248" s="5">
        <f t="shared" si="25"/>
        <v>0</v>
      </c>
      <c r="J248" s="5">
        <f t="shared" si="26"/>
        <v>0</v>
      </c>
      <c r="K248" s="2"/>
    </row>
    <row r="249" spans="1:11" x14ac:dyDescent="0.25">
      <c r="A249" s="8">
        <v>238</v>
      </c>
      <c r="B249" s="9">
        <v>51775</v>
      </c>
      <c r="C249" s="5">
        <f t="shared" si="27"/>
        <v>0</v>
      </c>
      <c r="D249" s="12">
        <f t="shared" si="21"/>
        <v>0</v>
      </c>
      <c r="E249" s="3">
        <f t="shared" si="22"/>
        <v>0</v>
      </c>
      <c r="F249" s="3">
        <f t="shared" si="23"/>
        <v>0</v>
      </c>
      <c r="G249" s="5">
        <f t="shared" si="24"/>
        <v>0</v>
      </c>
      <c r="H249" s="5">
        <v>0</v>
      </c>
      <c r="I249" s="5">
        <f t="shared" si="25"/>
        <v>0</v>
      </c>
      <c r="J249" s="5">
        <f t="shared" si="26"/>
        <v>0</v>
      </c>
      <c r="K249" s="2"/>
    </row>
    <row r="250" spans="1:11" x14ac:dyDescent="0.25">
      <c r="A250" s="8">
        <v>239</v>
      </c>
      <c r="B250" s="9">
        <v>51806</v>
      </c>
      <c r="C250" s="5">
        <f t="shared" si="27"/>
        <v>0</v>
      </c>
      <c r="D250" s="12">
        <f t="shared" si="21"/>
        <v>0</v>
      </c>
      <c r="E250" s="3">
        <f t="shared" si="22"/>
        <v>0</v>
      </c>
      <c r="F250" s="3">
        <f t="shared" si="23"/>
        <v>0</v>
      </c>
      <c r="G250" s="5">
        <f t="shared" si="24"/>
        <v>0</v>
      </c>
      <c r="H250" s="5">
        <v>0</v>
      </c>
      <c r="I250" s="5">
        <f t="shared" si="25"/>
        <v>0</v>
      </c>
      <c r="J250" s="5">
        <f t="shared" si="26"/>
        <v>0</v>
      </c>
      <c r="K250" s="2"/>
    </row>
    <row r="251" spans="1:11" x14ac:dyDescent="0.25">
      <c r="A251" s="8">
        <v>240</v>
      </c>
      <c r="B251" s="9">
        <v>51836</v>
      </c>
      <c r="C251" s="5">
        <f t="shared" si="27"/>
        <v>0</v>
      </c>
      <c r="D251" s="12">
        <f t="shared" si="21"/>
        <v>0</v>
      </c>
      <c r="E251" s="3">
        <f t="shared" si="22"/>
        <v>0</v>
      </c>
      <c r="F251" s="3">
        <f t="shared" si="23"/>
        <v>0</v>
      </c>
      <c r="G251" s="5">
        <f t="shared" si="24"/>
        <v>0</v>
      </c>
      <c r="H251" s="5">
        <v>0</v>
      </c>
      <c r="I251" s="5">
        <f t="shared" si="25"/>
        <v>0</v>
      </c>
      <c r="J251" s="5">
        <f t="shared" si="26"/>
        <v>0</v>
      </c>
      <c r="K251" s="2"/>
    </row>
    <row r="252" spans="1:11" x14ac:dyDescent="0.25">
      <c r="A252" s="8">
        <v>241</v>
      </c>
      <c r="B252" s="9">
        <v>51867</v>
      </c>
      <c r="C252" s="5">
        <f t="shared" si="27"/>
        <v>0</v>
      </c>
      <c r="D252" s="12">
        <f t="shared" si="21"/>
        <v>0</v>
      </c>
      <c r="E252" s="3">
        <f t="shared" si="22"/>
        <v>0</v>
      </c>
      <c r="F252" s="3">
        <f t="shared" si="23"/>
        <v>0</v>
      </c>
      <c r="G252" s="5">
        <f t="shared" si="24"/>
        <v>0</v>
      </c>
      <c r="H252" s="5">
        <v>0</v>
      </c>
      <c r="I252" s="5">
        <f t="shared" si="25"/>
        <v>0</v>
      </c>
      <c r="J252" s="5">
        <f t="shared" si="26"/>
        <v>0</v>
      </c>
      <c r="K252" s="2"/>
    </row>
    <row r="253" spans="1:11" x14ac:dyDescent="0.25">
      <c r="A253" s="8">
        <v>242</v>
      </c>
      <c r="B253" s="9">
        <v>51898</v>
      </c>
      <c r="C253" s="5">
        <f t="shared" si="27"/>
        <v>0</v>
      </c>
      <c r="D253" s="12">
        <f t="shared" si="21"/>
        <v>0</v>
      </c>
      <c r="E253" s="3">
        <f t="shared" si="22"/>
        <v>0</v>
      </c>
      <c r="F253" s="3">
        <f t="shared" si="23"/>
        <v>0</v>
      </c>
      <c r="G253" s="5">
        <f t="shared" si="24"/>
        <v>0</v>
      </c>
      <c r="H253" s="5">
        <v>0</v>
      </c>
      <c r="I253" s="5">
        <f t="shared" si="25"/>
        <v>0</v>
      </c>
      <c r="J253" s="5">
        <f t="shared" si="26"/>
        <v>0</v>
      </c>
      <c r="K253" s="2"/>
    </row>
    <row r="254" spans="1:11" x14ac:dyDescent="0.25">
      <c r="A254" s="8">
        <v>243</v>
      </c>
      <c r="B254" s="9">
        <v>51926</v>
      </c>
      <c r="C254" s="5">
        <f t="shared" si="27"/>
        <v>0</v>
      </c>
      <c r="D254" s="12">
        <f t="shared" si="21"/>
        <v>0</v>
      </c>
      <c r="E254" s="3">
        <f t="shared" si="22"/>
        <v>0</v>
      </c>
      <c r="F254" s="3">
        <f t="shared" si="23"/>
        <v>0</v>
      </c>
      <c r="G254" s="5">
        <f t="shared" si="24"/>
        <v>0</v>
      </c>
      <c r="H254" s="5">
        <v>0</v>
      </c>
      <c r="I254" s="5">
        <f t="shared" si="25"/>
        <v>0</v>
      </c>
      <c r="J254" s="5">
        <f t="shared" si="26"/>
        <v>0</v>
      </c>
      <c r="K254" s="2"/>
    </row>
    <row r="255" spans="1:11" x14ac:dyDescent="0.25">
      <c r="A255" s="8">
        <v>244</v>
      </c>
      <c r="B255" s="9">
        <v>51957</v>
      </c>
      <c r="C255" s="5">
        <f t="shared" si="27"/>
        <v>0</v>
      </c>
      <c r="D255" s="12">
        <f t="shared" si="21"/>
        <v>0</v>
      </c>
      <c r="E255" s="3">
        <f t="shared" si="22"/>
        <v>0</v>
      </c>
      <c r="F255" s="3">
        <f t="shared" si="23"/>
        <v>0</v>
      </c>
      <c r="G255" s="5">
        <f t="shared" si="24"/>
        <v>0</v>
      </c>
      <c r="H255" s="5">
        <v>0</v>
      </c>
      <c r="I255" s="5">
        <f t="shared" si="25"/>
        <v>0</v>
      </c>
      <c r="J255" s="5">
        <f t="shared" si="26"/>
        <v>0</v>
      </c>
      <c r="K255" s="2"/>
    </row>
    <row r="256" spans="1:11" x14ac:dyDescent="0.25">
      <c r="A256" s="8">
        <v>245</v>
      </c>
      <c r="B256" s="9">
        <v>51987</v>
      </c>
      <c r="C256" s="5">
        <f t="shared" si="27"/>
        <v>0</v>
      </c>
      <c r="D256" s="12">
        <f t="shared" si="21"/>
        <v>0</v>
      </c>
      <c r="E256" s="3">
        <f t="shared" si="22"/>
        <v>0</v>
      </c>
      <c r="F256" s="3">
        <f t="shared" si="23"/>
        <v>0</v>
      </c>
      <c r="G256" s="5">
        <f t="shared" si="24"/>
        <v>0</v>
      </c>
      <c r="H256" s="5">
        <v>0</v>
      </c>
      <c r="I256" s="5">
        <f t="shared" si="25"/>
        <v>0</v>
      </c>
      <c r="J256" s="5">
        <f t="shared" si="26"/>
        <v>0</v>
      </c>
      <c r="K256" s="2"/>
    </row>
    <row r="257" spans="1:11" x14ac:dyDescent="0.25">
      <c r="A257" s="8">
        <v>246</v>
      </c>
      <c r="B257" s="9">
        <v>52018</v>
      </c>
      <c r="C257" s="5">
        <f t="shared" si="27"/>
        <v>0</v>
      </c>
      <c r="D257" s="12">
        <f t="shared" si="21"/>
        <v>0</v>
      </c>
      <c r="E257" s="3">
        <f t="shared" si="22"/>
        <v>0</v>
      </c>
      <c r="F257" s="3">
        <f t="shared" si="23"/>
        <v>0</v>
      </c>
      <c r="G257" s="5">
        <f t="shared" si="24"/>
        <v>0</v>
      </c>
      <c r="H257" s="5">
        <v>0</v>
      </c>
      <c r="I257" s="5">
        <f t="shared" si="25"/>
        <v>0</v>
      </c>
      <c r="J257" s="5">
        <f t="shared" si="26"/>
        <v>0</v>
      </c>
      <c r="K257" s="2"/>
    </row>
    <row r="258" spans="1:11" x14ac:dyDescent="0.25">
      <c r="A258" s="8">
        <v>247</v>
      </c>
      <c r="B258" s="9">
        <v>52048</v>
      </c>
      <c r="C258" s="5">
        <f t="shared" si="27"/>
        <v>0</v>
      </c>
      <c r="D258" s="12">
        <f t="shared" si="21"/>
        <v>0</v>
      </c>
      <c r="E258" s="3">
        <f t="shared" si="22"/>
        <v>0</v>
      </c>
      <c r="F258" s="3">
        <f t="shared" si="23"/>
        <v>0</v>
      </c>
      <c r="G258" s="5">
        <f t="shared" si="24"/>
        <v>0</v>
      </c>
      <c r="H258" s="5">
        <v>0</v>
      </c>
      <c r="I258" s="5">
        <f t="shared" si="25"/>
        <v>0</v>
      </c>
      <c r="J258" s="5">
        <f t="shared" si="26"/>
        <v>0</v>
      </c>
      <c r="K258" s="2"/>
    </row>
    <row r="259" spans="1:11" x14ac:dyDescent="0.25">
      <c r="A259" s="8">
        <v>248</v>
      </c>
      <c r="B259" s="9">
        <v>52079</v>
      </c>
      <c r="C259" s="5">
        <f t="shared" si="27"/>
        <v>0</v>
      </c>
      <c r="D259" s="12">
        <f t="shared" si="21"/>
        <v>0</v>
      </c>
      <c r="E259" s="3">
        <f t="shared" si="22"/>
        <v>0</v>
      </c>
      <c r="F259" s="3">
        <f t="shared" si="23"/>
        <v>0</v>
      </c>
      <c r="G259" s="5">
        <f t="shared" si="24"/>
        <v>0</v>
      </c>
      <c r="H259" s="5">
        <v>0</v>
      </c>
      <c r="I259" s="5">
        <f t="shared" si="25"/>
        <v>0</v>
      </c>
      <c r="J259" s="5">
        <f t="shared" si="26"/>
        <v>0</v>
      </c>
      <c r="K259" s="2"/>
    </row>
    <row r="260" spans="1:11" x14ac:dyDescent="0.25">
      <c r="A260" s="8">
        <v>249</v>
      </c>
      <c r="B260" s="9">
        <v>52110</v>
      </c>
      <c r="C260" s="5">
        <f t="shared" si="27"/>
        <v>0</v>
      </c>
      <c r="D260" s="12">
        <f t="shared" si="21"/>
        <v>0</v>
      </c>
      <c r="E260" s="3">
        <f t="shared" si="22"/>
        <v>0</v>
      </c>
      <c r="F260" s="3">
        <f t="shared" si="23"/>
        <v>0</v>
      </c>
      <c r="G260" s="5">
        <f t="shared" si="24"/>
        <v>0</v>
      </c>
      <c r="H260" s="5">
        <v>0</v>
      </c>
      <c r="I260" s="5">
        <f t="shared" si="25"/>
        <v>0</v>
      </c>
      <c r="J260" s="5">
        <f t="shared" si="26"/>
        <v>0</v>
      </c>
      <c r="K260" s="2"/>
    </row>
    <row r="261" spans="1:11" x14ac:dyDescent="0.25">
      <c r="A261" s="8">
        <v>250</v>
      </c>
      <c r="B261" s="9">
        <v>52140</v>
      </c>
      <c r="C261" s="5">
        <f t="shared" si="27"/>
        <v>0</v>
      </c>
      <c r="D261" s="12">
        <f t="shared" si="21"/>
        <v>0</v>
      </c>
      <c r="E261" s="3">
        <f t="shared" si="22"/>
        <v>0</v>
      </c>
      <c r="F261" s="3">
        <f t="shared" si="23"/>
        <v>0</v>
      </c>
      <c r="G261" s="5">
        <f t="shared" si="24"/>
        <v>0</v>
      </c>
      <c r="H261" s="5">
        <v>0</v>
      </c>
      <c r="I261" s="5">
        <f t="shared" si="25"/>
        <v>0</v>
      </c>
      <c r="J261" s="5">
        <f t="shared" si="26"/>
        <v>0</v>
      </c>
      <c r="K261" s="2"/>
    </row>
    <row r="262" spans="1:11" x14ac:dyDescent="0.25">
      <c r="A262" s="8">
        <v>251</v>
      </c>
      <c r="B262" s="9">
        <v>52171</v>
      </c>
      <c r="C262" s="5">
        <f t="shared" si="27"/>
        <v>0</v>
      </c>
      <c r="D262" s="12">
        <f t="shared" si="21"/>
        <v>0</v>
      </c>
      <c r="E262" s="3">
        <f t="shared" si="22"/>
        <v>0</v>
      </c>
      <c r="F262" s="3">
        <f t="shared" si="23"/>
        <v>0</v>
      </c>
      <c r="G262" s="5">
        <f t="shared" si="24"/>
        <v>0</v>
      </c>
      <c r="H262" s="5">
        <v>0</v>
      </c>
      <c r="I262" s="5">
        <f t="shared" si="25"/>
        <v>0</v>
      </c>
      <c r="J262" s="5">
        <f t="shared" si="26"/>
        <v>0</v>
      </c>
      <c r="K262" s="2"/>
    </row>
    <row r="263" spans="1:11" x14ac:dyDescent="0.25">
      <c r="A263" s="8">
        <v>252</v>
      </c>
      <c r="B263" s="9">
        <v>52201</v>
      </c>
      <c r="C263" s="5">
        <f t="shared" si="27"/>
        <v>0</v>
      </c>
      <c r="D263" s="12">
        <f t="shared" si="21"/>
        <v>0</v>
      </c>
      <c r="E263" s="3">
        <f t="shared" si="22"/>
        <v>0</v>
      </c>
      <c r="F263" s="3">
        <f t="shared" si="23"/>
        <v>0</v>
      </c>
      <c r="G263" s="5">
        <f t="shared" si="24"/>
        <v>0</v>
      </c>
      <c r="H263" s="5">
        <v>0</v>
      </c>
      <c r="I263" s="5">
        <f t="shared" si="25"/>
        <v>0</v>
      </c>
      <c r="J263" s="5">
        <f t="shared" si="26"/>
        <v>0</v>
      </c>
      <c r="K263" s="2"/>
    </row>
    <row r="264" spans="1:11" x14ac:dyDescent="0.25">
      <c r="A264" s="8">
        <v>253</v>
      </c>
      <c r="B264" s="9">
        <v>52232</v>
      </c>
      <c r="C264" s="5">
        <f t="shared" si="27"/>
        <v>0</v>
      </c>
      <c r="D264" s="12">
        <f t="shared" si="21"/>
        <v>0</v>
      </c>
      <c r="E264" s="3">
        <f t="shared" si="22"/>
        <v>0</v>
      </c>
      <c r="F264" s="3">
        <f t="shared" si="23"/>
        <v>0</v>
      </c>
      <c r="G264" s="5">
        <f t="shared" si="24"/>
        <v>0</v>
      </c>
      <c r="H264" s="5">
        <v>0</v>
      </c>
      <c r="I264" s="5">
        <f t="shared" si="25"/>
        <v>0</v>
      </c>
      <c r="J264" s="5">
        <f t="shared" si="26"/>
        <v>0</v>
      </c>
      <c r="K264" s="2"/>
    </row>
    <row r="265" spans="1:11" x14ac:dyDescent="0.25">
      <c r="A265" s="8">
        <v>254</v>
      </c>
      <c r="B265" s="9">
        <v>52263</v>
      </c>
      <c r="C265" s="5">
        <f t="shared" si="27"/>
        <v>0</v>
      </c>
      <c r="D265" s="12">
        <f t="shared" si="21"/>
        <v>0</v>
      </c>
      <c r="E265" s="3">
        <f t="shared" si="22"/>
        <v>0</v>
      </c>
      <c r="F265" s="3">
        <f t="shared" si="23"/>
        <v>0</v>
      </c>
      <c r="G265" s="5">
        <f t="shared" si="24"/>
        <v>0</v>
      </c>
      <c r="H265" s="5">
        <v>0</v>
      </c>
      <c r="I265" s="5">
        <f t="shared" si="25"/>
        <v>0</v>
      </c>
      <c r="J265" s="5">
        <f t="shared" si="26"/>
        <v>0</v>
      </c>
      <c r="K265" s="2"/>
    </row>
    <row r="266" spans="1:11" x14ac:dyDescent="0.25">
      <c r="A266" s="8">
        <v>255</v>
      </c>
      <c r="B266" s="9">
        <v>52291</v>
      </c>
      <c r="C266" s="5">
        <f t="shared" si="27"/>
        <v>0</v>
      </c>
      <c r="D266" s="12">
        <f t="shared" si="21"/>
        <v>0</v>
      </c>
      <c r="E266" s="3">
        <f t="shared" si="22"/>
        <v>0</v>
      </c>
      <c r="F266" s="3">
        <f t="shared" si="23"/>
        <v>0</v>
      </c>
      <c r="G266" s="5">
        <f t="shared" si="24"/>
        <v>0</v>
      </c>
      <c r="H266" s="5">
        <v>0</v>
      </c>
      <c r="I266" s="5">
        <f t="shared" si="25"/>
        <v>0</v>
      </c>
      <c r="J266" s="5">
        <f t="shared" si="26"/>
        <v>0</v>
      </c>
      <c r="K266" s="2"/>
    </row>
    <row r="267" spans="1:11" x14ac:dyDescent="0.25">
      <c r="A267" s="8">
        <v>256</v>
      </c>
      <c r="B267" s="9">
        <v>52322</v>
      </c>
      <c r="C267" s="5">
        <f t="shared" si="27"/>
        <v>0</v>
      </c>
      <c r="D267" s="12">
        <f t="shared" si="21"/>
        <v>0</v>
      </c>
      <c r="E267" s="3">
        <f t="shared" si="22"/>
        <v>0</v>
      </c>
      <c r="F267" s="3">
        <f t="shared" si="23"/>
        <v>0</v>
      </c>
      <c r="G267" s="5">
        <f t="shared" si="24"/>
        <v>0</v>
      </c>
      <c r="H267" s="5">
        <v>0</v>
      </c>
      <c r="I267" s="5">
        <f t="shared" si="25"/>
        <v>0</v>
      </c>
      <c r="J267" s="5">
        <f t="shared" si="26"/>
        <v>0</v>
      </c>
      <c r="K267" s="2"/>
    </row>
    <row r="268" spans="1:11" x14ac:dyDescent="0.25">
      <c r="A268" s="8">
        <v>257</v>
      </c>
      <c r="B268" s="9">
        <v>52352</v>
      </c>
      <c r="C268" s="5">
        <f t="shared" si="27"/>
        <v>0</v>
      </c>
      <c r="D268" s="12">
        <f t="shared" si="21"/>
        <v>0</v>
      </c>
      <c r="E268" s="3">
        <f t="shared" si="22"/>
        <v>0</v>
      </c>
      <c r="F268" s="3">
        <f t="shared" si="23"/>
        <v>0</v>
      </c>
      <c r="G268" s="5">
        <f t="shared" si="24"/>
        <v>0</v>
      </c>
      <c r="H268" s="5">
        <v>0</v>
      </c>
      <c r="I268" s="5">
        <f t="shared" si="25"/>
        <v>0</v>
      </c>
      <c r="J268" s="5">
        <f t="shared" si="26"/>
        <v>0</v>
      </c>
      <c r="K268" s="2"/>
    </row>
    <row r="269" spans="1:11" x14ac:dyDescent="0.25">
      <c r="A269" s="8">
        <v>258</v>
      </c>
      <c r="B269" s="9">
        <v>52383</v>
      </c>
      <c r="C269" s="5">
        <f t="shared" si="27"/>
        <v>0</v>
      </c>
      <c r="D269" s="12">
        <f t="shared" ref="D269:D332" si="28">C269*$C$6</f>
        <v>0</v>
      </c>
      <c r="E269" s="3">
        <f t="shared" ref="E269:E332" si="29">C269+D269</f>
        <v>0</v>
      </c>
      <c r="F269" s="3">
        <f t="shared" ref="F269:F332" si="30">IF(C269&gt;0,$C$4/$C$8,0)</f>
        <v>0</v>
      </c>
      <c r="G269" s="5">
        <f t="shared" ref="G269:G332" si="31">IF(C269&gt;0,F269+D269,0)</f>
        <v>0</v>
      </c>
      <c r="H269" s="5">
        <v>0</v>
      </c>
      <c r="I269" s="5">
        <f t="shared" ref="I269:I332" si="32">IF(C269&gt;0,H269+G269,0)</f>
        <v>0</v>
      </c>
      <c r="J269" s="5">
        <f t="shared" ref="J269:J332" si="33">IF(E269-I269&gt;0,ROUND(E269-I269,2),0)</f>
        <v>0</v>
      </c>
      <c r="K269" s="2"/>
    </row>
    <row r="270" spans="1:11" x14ac:dyDescent="0.25">
      <c r="A270" s="8">
        <v>259</v>
      </c>
      <c r="B270" s="9">
        <v>52413</v>
      </c>
      <c r="C270" s="5">
        <f t="shared" ref="C270:C333" si="34">IF(J269&gt;0,J269,0)</f>
        <v>0</v>
      </c>
      <c r="D270" s="12">
        <f t="shared" si="28"/>
        <v>0</v>
      </c>
      <c r="E270" s="3">
        <f t="shared" si="29"/>
        <v>0</v>
      </c>
      <c r="F270" s="3">
        <f t="shared" si="30"/>
        <v>0</v>
      </c>
      <c r="G270" s="5">
        <f t="shared" si="31"/>
        <v>0</v>
      </c>
      <c r="H270" s="5">
        <v>0</v>
      </c>
      <c r="I270" s="5">
        <f t="shared" si="32"/>
        <v>0</v>
      </c>
      <c r="J270" s="5">
        <f t="shared" si="33"/>
        <v>0</v>
      </c>
      <c r="K270" s="2"/>
    </row>
    <row r="271" spans="1:11" x14ac:dyDescent="0.25">
      <c r="A271" s="8">
        <v>260</v>
      </c>
      <c r="B271" s="9">
        <v>52444</v>
      </c>
      <c r="C271" s="5">
        <f t="shared" si="34"/>
        <v>0</v>
      </c>
      <c r="D271" s="12">
        <f t="shared" si="28"/>
        <v>0</v>
      </c>
      <c r="E271" s="3">
        <f t="shared" si="29"/>
        <v>0</v>
      </c>
      <c r="F271" s="3">
        <f t="shared" si="30"/>
        <v>0</v>
      </c>
      <c r="G271" s="5">
        <f t="shared" si="31"/>
        <v>0</v>
      </c>
      <c r="H271" s="5">
        <v>0</v>
      </c>
      <c r="I271" s="5">
        <f t="shared" si="32"/>
        <v>0</v>
      </c>
      <c r="J271" s="5">
        <f t="shared" si="33"/>
        <v>0</v>
      </c>
      <c r="K271" s="2"/>
    </row>
    <row r="272" spans="1:11" x14ac:dyDescent="0.25">
      <c r="A272" s="8">
        <v>261</v>
      </c>
      <c r="B272" s="9">
        <v>52475</v>
      </c>
      <c r="C272" s="5">
        <f t="shared" si="34"/>
        <v>0</v>
      </c>
      <c r="D272" s="12">
        <f t="shared" si="28"/>
        <v>0</v>
      </c>
      <c r="E272" s="3">
        <f t="shared" si="29"/>
        <v>0</v>
      </c>
      <c r="F272" s="3">
        <f t="shared" si="30"/>
        <v>0</v>
      </c>
      <c r="G272" s="5">
        <f t="shared" si="31"/>
        <v>0</v>
      </c>
      <c r="H272" s="5">
        <v>0</v>
      </c>
      <c r="I272" s="5">
        <f t="shared" si="32"/>
        <v>0</v>
      </c>
      <c r="J272" s="5">
        <f t="shared" si="33"/>
        <v>0</v>
      </c>
      <c r="K272" s="2"/>
    </row>
    <row r="273" spans="1:11" x14ac:dyDescent="0.25">
      <c r="A273" s="8">
        <v>262</v>
      </c>
      <c r="B273" s="9">
        <v>52505</v>
      </c>
      <c r="C273" s="5">
        <f t="shared" si="34"/>
        <v>0</v>
      </c>
      <c r="D273" s="12">
        <f t="shared" si="28"/>
        <v>0</v>
      </c>
      <c r="E273" s="3">
        <f t="shared" si="29"/>
        <v>0</v>
      </c>
      <c r="F273" s="3">
        <f t="shared" si="30"/>
        <v>0</v>
      </c>
      <c r="G273" s="5">
        <f t="shared" si="31"/>
        <v>0</v>
      </c>
      <c r="H273" s="5">
        <v>0</v>
      </c>
      <c r="I273" s="5">
        <f t="shared" si="32"/>
        <v>0</v>
      </c>
      <c r="J273" s="5">
        <f t="shared" si="33"/>
        <v>0</v>
      </c>
      <c r="K273" s="2"/>
    </row>
    <row r="274" spans="1:11" x14ac:dyDescent="0.25">
      <c r="A274" s="8">
        <v>263</v>
      </c>
      <c r="B274" s="9">
        <v>52536</v>
      </c>
      <c r="C274" s="5">
        <f t="shared" si="34"/>
        <v>0</v>
      </c>
      <c r="D274" s="12">
        <f t="shared" si="28"/>
        <v>0</v>
      </c>
      <c r="E274" s="3">
        <f t="shared" si="29"/>
        <v>0</v>
      </c>
      <c r="F274" s="3">
        <f t="shared" si="30"/>
        <v>0</v>
      </c>
      <c r="G274" s="5">
        <f t="shared" si="31"/>
        <v>0</v>
      </c>
      <c r="H274" s="5">
        <v>0</v>
      </c>
      <c r="I274" s="5">
        <f t="shared" si="32"/>
        <v>0</v>
      </c>
      <c r="J274" s="5">
        <f t="shared" si="33"/>
        <v>0</v>
      </c>
      <c r="K274" s="2"/>
    </row>
    <row r="275" spans="1:11" x14ac:dyDescent="0.25">
      <c r="A275" s="8">
        <v>264</v>
      </c>
      <c r="B275" s="9">
        <v>52566</v>
      </c>
      <c r="C275" s="5">
        <f t="shared" si="34"/>
        <v>0</v>
      </c>
      <c r="D275" s="12">
        <f t="shared" si="28"/>
        <v>0</v>
      </c>
      <c r="E275" s="3">
        <f t="shared" si="29"/>
        <v>0</v>
      </c>
      <c r="F275" s="3">
        <f t="shared" si="30"/>
        <v>0</v>
      </c>
      <c r="G275" s="5">
        <f t="shared" si="31"/>
        <v>0</v>
      </c>
      <c r="H275" s="5">
        <v>0</v>
      </c>
      <c r="I275" s="5">
        <f t="shared" si="32"/>
        <v>0</v>
      </c>
      <c r="J275" s="5">
        <f t="shared" si="33"/>
        <v>0</v>
      </c>
      <c r="K275" s="2"/>
    </row>
    <row r="276" spans="1:11" x14ac:dyDescent="0.25">
      <c r="A276" s="8">
        <v>265</v>
      </c>
      <c r="B276" s="9">
        <v>52597</v>
      </c>
      <c r="C276" s="5">
        <f t="shared" si="34"/>
        <v>0</v>
      </c>
      <c r="D276" s="12">
        <f t="shared" si="28"/>
        <v>0</v>
      </c>
      <c r="E276" s="3">
        <f t="shared" si="29"/>
        <v>0</v>
      </c>
      <c r="F276" s="3">
        <f t="shared" si="30"/>
        <v>0</v>
      </c>
      <c r="G276" s="5">
        <f t="shared" si="31"/>
        <v>0</v>
      </c>
      <c r="H276" s="5">
        <v>0</v>
      </c>
      <c r="I276" s="5">
        <f t="shared" si="32"/>
        <v>0</v>
      </c>
      <c r="J276" s="5">
        <f t="shared" si="33"/>
        <v>0</v>
      </c>
      <c r="K276" s="2"/>
    </row>
    <row r="277" spans="1:11" x14ac:dyDescent="0.25">
      <c r="A277" s="8">
        <v>266</v>
      </c>
      <c r="B277" s="9">
        <v>52628</v>
      </c>
      <c r="C277" s="5">
        <f t="shared" si="34"/>
        <v>0</v>
      </c>
      <c r="D277" s="12">
        <f t="shared" si="28"/>
        <v>0</v>
      </c>
      <c r="E277" s="3">
        <f t="shared" si="29"/>
        <v>0</v>
      </c>
      <c r="F277" s="3">
        <f t="shared" si="30"/>
        <v>0</v>
      </c>
      <c r="G277" s="5">
        <f t="shared" si="31"/>
        <v>0</v>
      </c>
      <c r="H277" s="5">
        <v>0</v>
      </c>
      <c r="I277" s="5">
        <f t="shared" si="32"/>
        <v>0</v>
      </c>
      <c r="J277" s="5">
        <f t="shared" si="33"/>
        <v>0</v>
      </c>
      <c r="K277" s="2"/>
    </row>
    <row r="278" spans="1:11" x14ac:dyDescent="0.25">
      <c r="A278" s="8">
        <v>267</v>
      </c>
      <c r="B278" s="9">
        <v>52657</v>
      </c>
      <c r="C278" s="5">
        <f t="shared" si="34"/>
        <v>0</v>
      </c>
      <c r="D278" s="12">
        <f t="shared" si="28"/>
        <v>0</v>
      </c>
      <c r="E278" s="3">
        <f t="shared" si="29"/>
        <v>0</v>
      </c>
      <c r="F278" s="3">
        <f t="shared" si="30"/>
        <v>0</v>
      </c>
      <c r="G278" s="5">
        <f t="shared" si="31"/>
        <v>0</v>
      </c>
      <c r="H278" s="5">
        <v>0</v>
      </c>
      <c r="I278" s="5">
        <f t="shared" si="32"/>
        <v>0</v>
      </c>
      <c r="J278" s="5">
        <f t="shared" si="33"/>
        <v>0</v>
      </c>
      <c r="K278" s="2"/>
    </row>
    <row r="279" spans="1:11" x14ac:dyDescent="0.25">
      <c r="A279" s="8">
        <v>268</v>
      </c>
      <c r="B279" s="9">
        <v>52688</v>
      </c>
      <c r="C279" s="5">
        <f t="shared" si="34"/>
        <v>0</v>
      </c>
      <c r="D279" s="12">
        <f t="shared" si="28"/>
        <v>0</v>
      </c>
      <c r="E279" s="3">
        <f t="shared" si="29"/>
        <v>0</v>
      </c>
      <c r="F279" s="3">
        <f t="shared" si="30"/>
        <v>0</v>
      </c>
      <c r="G279" s="5">
        <f t="shared" si="31"/>
        <v>0</v>
      </c>
      <c r="H279" s="5">
        <v>0</v>
      </c>
      <c r="I279" s="5">
        <f t="shared" si="32"/>
        <v>0</v>
      </c>
      <c r="J279" s="5">
        <f t="shared" si="33"/>
        <v>0</v>
      </c>
      <c r="K279" s="2"/>
    </row>
    <row r="280" spans="1:11" x14ac:dyDescent="0.25">
      <c r="A280" s="8">
        <v>269</v>
      </c>
      <c r="B280" s="9">
        <v>52718</v>
      </c>
      <c r="C280" s="5">
        <f t="shared" si="34"/>
        <v>0</v>
      </c>
      <c r="D280" s="12">
        <f t="shared" si="28"/>
        <v>0</v>
      </c>
      <c r="E280" s="3">
        <f t="shared" si="29"/>
        <v>0</v>
      </c>
      <c r="F280" s="3">
        <f t="shared" si="30"/>
        <v>0</v>
      </c>
      <c r="G280" s="5">
        <f t="shared" si="31"/>
        <v>0</v>
      </c>
      <c r="H280" s="5">
        <v>0</v>
      </c>
      <c r="I280" s="5">
        <f t="shared" si="32"/>
        <v>0</v>
      </c>
      <c r="J280" s="5">
        <f t="shared" si="33"/>
        <v>0</v>
      </c>
      <c r="K280" s="2"/>
    </row>
    <row r="281" spans="1:11" x14ac:dyDescent="0.25">
      <c r="A281" s="8">
        <v>270</v>
      </c>
      <c r="B281" s="9">
        <v>52749</v>
      </c>
      <c r="C281" s="5">
        <f t="shared" si="34"/>
        <v>0</v>
      </c>
      <c r="D281" s="12">
        <f t="shared" si="28"/>
        <v>0</v>
      </c>
      <c r="E281" s="3">
        <f t="shared" si="29"/>
        <v>0</v>
      </c>
      <c r="F281" s="3">
        <f t="shared" si="30"/>
        <v>0</v>
      </c>
      <c r="G281" s="5">
        <f t="shared" si="31"/>
        <v>0</v>
      </c>
      <c r="H281" s="5">
        <v>0</v>
      </c>
      <c r="I281" s="5">
        <f t="shared" si="32"/>
        <v>0</v>
      </c>
      <c r="J281" s="5">
        <f t="shared" si="33"/>
        <v>0</v>
      </c>
      <c r="K281" s="2"/>
    </row>
    <row r="282" spans="1:11" x14ac:dyDescent="0.25">
      <c r="A282" s="8">
        <v>271</v>
      </c>
      <c r="B282" s="9">
        <v>52779</v>
      </c>
      <c r="C282" s="5">
        <f t="shared" si="34"/>
        <v>0</v>
      </c>
      <c r="D282" s="12">
        <f t="shared" si="28"/>
        <v>0</v>
      </c>
      <c r="E282" s="3">
        <f t="shared" si="29"/>
        <v>0</v>
      </c>
      <c r="F282" s="3">
        <f t="shared" si="30"/>
        <v>0</v>
      </c>
      <c r="G282" s="5">
        <f t="shared" si="31"/>
        <v>0</v>
      </c>
      <c r="H282" s="5">
        <v>0</v>
      </c>
      <c r="I282" s="5">
        <f t="shared" si="32"/>
        <v>0</v>
      </c>
      <c r="J282" s="5">
        <f t="shared" si="33"/>
        <v>0</v>
      </c>
      <c r="K282" s="2"/>
    </row>
    <row r="283" spans="1:11" x14ac:dyDescent="0.25">
      <c r="A283" s="8">
        <v>272</v>
      </c>
      <c r="B283" s="9">
        <v>52810</v>
      </c>
      <c r="C283" s="5">
        <f t="shared" si="34"/>
        <v>0</v>
      </c>
      <c r="D283" s="12">
        <f t="shared" si="28"/>
        <v>0</v>
      </c>
      <c r="E283" s="3">
        <f t="shared" si="29"/>
        <v>0</v>
      </c>
      <c r="F283" s="3">
        <f t="shared" si="30"/>
        <v>0</v>
      </c>
      <c r="G283" s="5">
        <f t="shared" si="31"/>
        <v>0</v>
      </c>
      <c r="H283" s="5">
        <v>0</v>
      </c>
      <c r="I283" s="5">
        <f t="shared" si="32"/>
        <v>0</v>
      </c>
      <c r="J283" s="5">
        <f t="shared" si="33"/>
        <v>0</v>
      </c>
      <c r="K283" s="2"/>
    </row>
    <row r="284" spans="1:11" x14ac:dyDescent="0.25">
      <c r="A284" s="8">
        <v>273</v>
      </c>
      <c r="B284" s="9">
        <v>52841</v>
      </c>
      <c r="C284" s="5">
        <f t="shared" si="34"/>
        <v>0</v>
      </c>
      <c r="D284" s="12">
        <f t="shared" si="28"/>
        <v>0</v>
      </c>
      <c r="E284" s="3">
        <f t="shared" si="29"/>
        <v>0</v>
      </c>
      <c r="F284" s="3">
        <f t="shared" si="30"/>
        <v>0</v>
      </c>
      <c r="G284" s="5">
        <f t="shared" si="31"/>
        <v>0</v>
      </c>
      <c r="H284" s="5">
        <v>0</v>
      </c>
      <c r="I284" s="5">
        <f t="shared" si="32"/>
        <v>0</v>
      </c>
      <c r="J284" s="5">
        <f t="shared" si="33"/>
        <v>0</v>
      </c>
      <c r="K284" s="2"/>
    </row>
    <row r="285" spans="1:11" x14ac:dyDescent="0.25">
      <c r="A285" s="8">
        <v>274</v>
      </c>
      <c r="B285" s="9">
        <v>52871</v>
      </c>
      <c r="C285" s="5">
        <f t="shared" si="34"/>
        <v>0</v>
      </c>
      <c r="D285" s="12">
        <f t="shared" si="28"/>
        <v>0</v>
      </c>
      <c r="E285" s="3">
        <f t="shared" si="29"/>
        <v>0</v>
      </c>
      <c r="F285" s="3">
        <f t="shared" si="30"/>
        <v>0</v>
      </c>
      <c r="G285" s="5">
        <f t="shared" si="31"/>
        <v>0</v>
      </c>
      <c r="H285" s="5">
        <v>0</v>
      </c>
      <c r="I285" s="5">
        <f t="shared" si="32"/>
        <v>0</v>
      </c>
      <c r="J285" s="5">
        <f t="shared" si="33"/>
        <v>0</v>
      </c>
      <c r="K285" s="2"/>
    </row>
    <row r="286" spans="1:11" x14ac:dyDescent="0.25">
      <c r="A286" s="8">
        <v>275</v>
      </c>
      <c r="B286" s="9">
        <v>52902</v>
      </c>
      <c r="C286" s="5">
        <f t="shared" si="34"/>
        <v>0</v>
      </c>
      <c r="D286" s="12">
        <f t="shared" si="28"/>
        <v>0</v>
      </c>
      <c r="E286" s="3">
        <f t="shared" si="29"/>
        <v>0</v>
      </c>
      <c r="F286" s="3">
        <f t="shared" si="30"/>
        <v>0</v>
      </c>
      <c r="G286" s="5">
        <f t="shared" si="31"/>
        <v>0</v>
      </c>
      <c r="H286" s="5">
        <v>0</v>
      </c>
      <c r="I286" s="5">
        <f t="shared" si="32"/>
        <v>0</v>
      </c>
      <c r="J286" s="5">
        <f t="shared" si="33"/>
        <v>0</v>
      </c>
      <c r="K286" s="2"/>
    </row>
    <row r="287" spans="1:11" x14ac:dyDescent="0.25">
      <c r="A287" s="8">
        <v>276</v>
      </c>
      <c r="B287" s="9">
        <v>52932</v>
      </c>
      <c r="C287" s="5">
        <f t="shared" si="34"/>
        <v>0</v>
      </c>
      <c r="D287" s="12">
        <f t="shared" si="28"/>
        <v>0</v>
      </c>
      <c r="E287" s="3">
        <f t="shared" si="29"/>
        <v>0</v>
      </c>
      <c r="F287" s="3">
        <f t="shared" si="30"/>
        <v>0</v>
      </c>
      <c r="G287" s="5">
        <f t="shared" si="31"/>
        <v>0</v>
      </c>
      <c r="H287" s="5">
        <v>0</v>
      </c>
      <c r="I287" s="5">
        <f t="shared" si="32"/>
        <v>0</v>
      </c>
      <c r="J287" s="5">
        <f t="shared" si="33"/>
        <v>0</v>
      </c>
      <c r="K287" s="2"/>
    </row>
    <row r="288" spans="1:11" x14ac:dyDescent="0.25">
      <c r="A288" s="8">
        <v>277</v>
      </c>
      <c r="B288" s="9">
        <v>52963</v>
      </c>
      <c r="C288" s="5">
        <f t="shared" si="34"/>
        <v>0</v>
      </c>
      <c r="D288" s="12">
        <f t="shared" si="28"/>
        <v>0</v>
      </c>
      <c r="E288" s="3">
        <f t="shared" si="29"/>
        <v>0</v>
      </c>
      <c r="F288" s="3">
        <f t="shared" si="30"/>
        <v>0</v>
      </c>
      <c r="G288" s="5">
        <f t="shared" si="31"/>
        <v>0</v>
      </c>
      <c r="H288" s="5">
        <v>0</v>
      </c>
      <c r="I288" s="5">
        <f t="shared" si="32"/>
        <v>0</v>
      </c>
      <c r="J288" s="5">
        <f t="shared" si="33"/>
        <v>0</v>
      </c>
      <c r="K288" s="2"/>
    </row>
    <row r="289" spans="1:11" x14ac:dyDescent="0.25">
      <c r="A289" s="8">
        <v>278</v>
      </c>
      <c r="B289" s="9">
        <v>52994</v>
      </c>
      <c r="C289" s="5">
        <f t="shared" si="34"/>
        <v>0</v>
      </c>
      <c r="D289" s="12">
        <f t="shared" si="28"/>
        <v>0</v>
      </c>
      <c r="E289" s="3">
        <f t="shared" si="29"/>
        <v>0</v>
      </c>
      <c r="F289" s="3">
        <f t="shared" si="30"/>
        <v>0</v>
      </c>
      <c r="G289" s="5">
        <f t="shared" si="31"/>
        <v>0</v>
      </c>
      <c r="H289" s="5">
        <v>0</v>
      </c>
      <c r="I289" s="5">
        <f t="shared" si="32"/>
        <v>0</v>
      </c>
      <c r="J289" s="5">
        <f t="shared" si="33"/>
        <v>0</v>
      </c>
      <c r="K289" s="2"/>
    </row>
    <row r="290" spans="1:11" x14ac:dyDescent="0.25">
      <c r="A290" s="8">
        <v>279</v>
      </c>
      <c r="B290" s="9">
        <v>53022</v>
      </c>
      <c r="C290" s="5">
        <f t="shared" si="34"/>
        <v>0</v>
      </c>
      <c r="D290" s="12">
        <f t="shared" si="28"/>
        <v>0</v>
      </c>
      <c r="E290" s="3">
        <f t="shared" si="29"/>
        <v>0</v>
      </c>
      <c r="F290" s="3">
        <f t="shared" si="30"/>
        <v>0</v>
      </c>
      <c r="G290" s="5">
        <f t="shared" si="31"/>
        <v>0</v>
      </c>
      <c r="H290" s="5">
        <v>0</v>
      </c>
      <c r="I290" s="5">
        <f t="shared" si="32"/>
        <v>0</v>
      </c>
      <c r="J290" s="5">
        <f t="shared" si="33"/>
        <v>0</v>
      </c>
      <c r="K290" s="2"/>
    </row>
    <row r="291" spans="1:11" x14ac:dyDescent="0.25">
      <c r="A291" s="8">
        <v>280</v>
      </c>
      <c r="B291" s="9">
        <v>53053</v>
      </c>
      <c r="C291" s="5">
        <f t="shared" si="34"/>
        <v>0</v>
      </c>
      <c r="D291" s="12">
        <f t="shared" si="28"/>
        <v>0</v>
      </c>
      <c r="E291" s="3">
        <f t="shared" si="29"/>
        <v>0</v>
      </c>
      <c r="F291" s="3">
        <f t="shared" si="30"/>
        <v>0</v>
      </c>
      <c r="G291" s="5">
        <f t="shared" si="31"/>
        <v>0</v>
      </c>
      <c r="H291" s="5">
        <v>0</v>
      </c>
      <c r="I291" s="5">
        <f t="shared" si="32"/>
        <v>0</v>
      </c>
      <c r="J291" s="5">
        <f t="shared" si="33"/>
        <v>0</v>
      </c>
      <c r="K291" s="2"/>
    </row>
    <row r="292" spans="1:11" x14ac:dyDescent="0.25">
      <c r="A292" s="8">
        <v>281</v>
      </c>
      <c r="B292" s="9">
        <v>53083</v>
      </c>
      <c r="C292" s="5">
        <f t="shared" si="34"/>
        <v>0</v>
      </c>
      <c r="D292" s="12">
        <f t="shared" si="28"/>
        <v>0</v>
      </c>
      <c r="E292" s="3">
        <f t="shared" si="29"/>
        <v>0</v>
      </c>
      <c r="F292" s="3">
        <f t="shared" si="30"/>
        <v>0</v>
      </c>
      <c r="G292" s="5">
        <f t="shared" si="31"/>
        <v>0</v>
      </c>
      <c r="H292" s="5">
        <v>0</v>
      </c>
      <c r="I292" s="5">
        <f t="shared" si="32"/>
        <v>0</v>
      </c>
      <c r="J292" s="5">
        <f t="shared" si="33"/>
        <v>0</v>
      </c>
      <c r="K292" s="2"/>
    </row>
    <row r="293" spans="1:11" x14ac:dyDescent="0.25">
      <c r="A293" s="8">
        <v>282</v>
      </c>
      <c r="B293" s="9">
        <v>53114</v>
      </c>
      <c r="C293" s="5">
        <f t="shared" si="34"/>
        <v>0</v>
      </c>
      <c r="D293" s="12">
        <f t="shared" si="28"/>
        <v>0</v>
      </c>
      <c r="E293" s="3">
        <f t="shared" si="29"/>
        <v>0</v>
      </c>
      <c r="F293" s="3">
        <f t="shared" si="30"/>
        <v>0</v>
      </c>
      <c r="G293" s="5">
        <f t="shared" si="31"/>
        <v>0</v>
      </c>
      <c r="H293" s="5">
        <v>0</v>
      </c>
      <c r="I293" s="5">
        <f t="shared" si="32"/>
        <v>0</v>
      </c>
      <c r="J293" s="5">
        <f t="shared" si="33"/>
        <v>0</v>
      </c>
      <c r="K293" s="2"/>
    </row>
    <row r="294" spans="1:11" x14ac:dyDescent="0.25">
      <c r="A294" s="8">
        <v>283</v>
      </c>
      <c r="B294" s="9">
        <v>53144</v>
      </c>
      <c r="C294" s="5">
        <f t="shared" si="34"/>
        <v>0</v>
      </c>
      <c r="D294" s="12">
        <f t="shared" si="28"/>
        <v>0</v>
      </c>
      <c r="E294" s="3">
        <f t="shared" si="29"/>
        <v>0</v>
      </c>
      <c r="F294" s="3">
        <f t="shared" si="30"/>
        <v>0</v>
      </c>
      <c r="G294" s="5">
        <f t="shared" si="31"/>
        <v>0</v>
      </c>
      <c r="H294" s="5">
        <v>0</v>
      </c>
      <c r="I294" s="5">
        <f t="shared" si="32"/>
        <v>0</v>
      </c>
      <c r="J294" s="5">
        <f t="shared" si="33"/>
        <v>0</v>
      </c>
      <c r="K294" s="2"/>
    </row>
    <row r="295" spans="1:11" x14ac:dyDescent="0.25">
      <c r="A295" s="8">
        <v>284</v>
      </c>
      <c r="B295" s="9">
        <v>53175</v>
      </c>
      <c r="C295" s="5">
        <f t="shared" si="34"/>
        <v>0</v>
      </c>
      <c r="D295" s="12">
        <f t="shared" si="28"/>
        <v>0</v>
      </c>
      <c r="E295" s="3">
        <f t="shared" si="29"/>
        <v>0</v>
      </c>
      <c r="F295" s="3">
        <f t="shared" si="30"/>
        <v>0</v>
      </c>
      <c r="G295" s="5">
        <f t="shared" si="31"/>
        <v>0</v>
      </c>
      <c r="H295" s="5">
        <v>0</v>
      </c>
      <c r="I295" s="5">
        <f t="shared" si="32"/>
        <v>0</v>
      </c>
      <c r="J295" s="5">
        <f t="shared" si="33"/>
        <v>0</v>
      </c>
      <c r="K295" s="2"/>
    </row>
    <row r="296" spans="1:11" x14ac:dyDescent="0.25">
      <c r="A296" s="8">
        <v>285</v>
      </c>
      <c r="B296" s="9">
        <v>53206</v>
      </c>
      <c r="C296" s="5">
        <f t="shared" si="34"/>
        <v>0</v>
      </c>
      <c r="D296" s="12">
        <f t="shared" si="28"/>
        <v>0</v>
      </c>
      <c r="E296" s="3">
        <f t="shared" si="29"/>
        <v>0</v>
      </c>
      <c r="F296" s="3">
        <f t="shared" si="30"/>
        <v>0</v>
      </c>
      <c r="G296" s="5">
        <f t="shared" si="31"/>
        <v>0</v>
      </c>
      <c r="H296" s="5">
        <v>0</v>
      </c>
      <c r="I296" s="5">
        <f t="shared" si="32"/>
        <v>0</v>
      </c>
      <c r="J296" s="5">
        <f t="shared" si="33"/>
        <v>0</v>
      </c>
      <c r="K296" s="2"/>
    </row>
    <row r="297" spans="1:11" x14ac:dyDescent="0.25">
      <c r="A297" s="8">
        <v>286</v>
      </c>
      <c r="B297" s="9">
        <v>53236</v>
      </c>
      <c r="C297" s="5">
        <f t="shared" si="34"/>
        <v>0</v>
      </c>
      <c r="D297" s="12">
        <f t="shared" si="28"/>
        <v>0</v>
      </c>
      <c r="E297" s="3">
        <f t="shared" si="29"/>
        <v>0</v>
      </c>
      <c r="F297" s="3">
        <f t="shared" si="30"/>
        <v>0</v>
      </c>
      <c r="G297" s="5">
        <f t="shared" si="31"/>
        <v>0</v>
      </c>
      <c r="H297" s="5">
        <v>0</v>
      </c>
      <c r="I297" s="5">
        <f t="shared" si="32"/>
        <v>0</v>
      </c>
      <c r="J297" s="5">
        <f t="shared" si="33"/>
        <v>0</v>
      </c>
      <c r="K297" s="2"/>
    </row>
    <row r="298" spans="1:11" x14ac:dyDescent="0.25">
      <c r="A298" s="8">
        <v>287</v>
      </c>
      <c r="B298" s="9">
        <v>53267</v>
      </c>
      <c r="C298" s="5">
        <f t="shared" si="34"/>
        <v>0</v>
      </c>
      <c r="D298" s="12">
        <f t="shared" si="28"/>
        <v>0</v>
      </c>
      <c r="E298" s="3">
        <f t="shared" si="29"/>
        <v>0</v>
      </c>
      <c r="F298" s="3">
        <f t="shared" si="30"/>
        <v>0</v>
      </c>
      <c r="G298" s="5">
        <f t="shared" si="31"/>
        <v>0</v>
      </c>
      <c r="H298" s="5">
        <v>0</v>
      </c>
      <c r="I298" s="5">
        <f t="shared" si="32"/>
        <v>0</v>
      </c>
      <c r="J298" s="5">
        <f t="shared" si="33"/>
        <v>0</v>
      </c>
      <c r="K298" s="2"/>
    </row>
    <row r="299" spans="1:11" x14ac:dyDescent="0.25">
      <c r="A299" s="8">
        <v>288</v>
      </c>
      <c r="B299" s="9">
        <v>53297</v>
      </c>
      <c r="C299" s="5">
        <f t="shared" si="34"/>
        <v>0</v>
      </c>
      <c r="D299" s="12">
        <f t="shared" si="28"/>
        <v>0</v>
      </c>
      <c r="E299" s="3">
        <f t="shared" si="29"/>
        <v>0</v>
      </c>
      <c r="F299" s="3">
        <f t="shared" si="30"/>
        <v>0</v>
      </c>
      <c r="G299" s="5">
        <f t="shared" si="31"/>
        <v>0</v>
      </c>
      <c r="H299" s="5">
        <v>0</v>
      </c>
      <c r="I299" s="5">
        <f t="shared" si="32"/>
        <v>0</v>
      </c>
      <c r="J299" s="5">
        <f t="shared" si="33"/>
        <v>0</v>
      </c>
      <c r="K299" s="2"/>
    </row>
    <row r="300" spans="1:11" x14ac:dyDescent="0.25">
      <c r="A300" s="8">
        <v>289</v>
      </c>
      <c r="B300" s="9">
        <v>53328</v>
      </c>
      <c r="C300" s="5">
        <f t="shared" si="34"/>
        <v>0</v>
      </c>
      <c r="D300" s="12">
        <f t="shared" si="28"/>
        <v>0</v>
      </c>
      <c r="E300" s="3">
        <f t="shared" si="29"/>
        <v>0</v>
      </c>
      <c r="F300" s="3">
        <f t="shared" si="30"/>
        <v>0</v>
      </c>
      <c r="G300" s="5">
        <f t="shared" si="31"/>
        <v>0</v>
      </c>
      <c r="H300" s="5">
        <v>0</v>
      </c>
      <c r="I300" s="5">
        <f t="shared" si="32"/>
        <v>0</v>
      </c>
      <c r="J300" s="5">
        <f t="shared" si="33"/>
        <v>0</v>
      </c>
      <c r="K300" s="2"/>
    </row>
    <row r="301" spans="1:11" x14ac:dyDescent="0.25">
      <c r="A301" s="8">
        <v>290</v>
      </c>
      <c r="B301" s="9">
        <v>53359</v>
      </c>
      <c r="C301" s="5">
        <f t="shared" si="34"/>
        <v>0</v>
      </c>
      <c r="D301" s="12">
        <f t="shared" si="28"/>
        <v>0</v>
      </c>
      <c r="E301" s="3">
        <f t="shared" si="29"/>
        <v>0</v>
      </c>
      <c r="F301" s="3">
        <f t="shared" si="30"/>
        <v>0</v>
      </c>
      <c r="G301" s="5">
        <f t="shared" si="31"/>
        <v>0</v>
      </c>
      <c r="H301" s="5">
        <v>0</v>
      </c>
      <c r="I301" s="5">
        <f t="shared" si="32"/>
        <v>0</v>
      </c>
      <c r="J301" s="5">
        <f t="shared" si="33"/>
        <v>0</v>
      </c>
      <c r="K301" s="2"/>
    </row>
    <row r="302" spans="1:11" x14ac:dyDescent="0.25">
      <c r="A302" s="8">
        <v>291</v>
      </c>
      <c r="B302" s="9">
        <v>53387</v>
      </c>
      <c r="C302" s="5">
        <f t="shared" si="34"/>
        <v>0</v>
      </c>
      <c r="D302" s="12">
        <f t="shared" si="28"/>
        <v>0</v>
      </c>
      <c r="E302" s="3">
        <f t="shared" si="29"/>
        <v>0</v>
      </c>
      <c r="F302" s="3">
        <f t="shared" si="30"/>
        <v>0</v>
      </c>
      <c r="G302" s="5">
        <f t="shared" si="31"/>
        <v>0</v>
      </c>
      <c r="H302" s="5">
        <v>0</v>
      </c>
      <c r="I302" s="5">
        <f t="shared" si="32"/>
        <v>0</v>
      </c>
      <c r="J302" s="5">
        <f t="shared" si="33"/>
        <v>0</v>
      </c>
      <c r="K302" s="2"/>
    </row>
    <row r="303" spans="1:11" x14ac:dyDescent="0.25">
      <c r="A303" s="8">
        <v>292</v>
      </c>
      <c r="B303" s="9">
        <v>53418</v>
      </c>
      <c r="C303" s="5">
        <f t="shared" si="34"/>
        <v>0</v>
      </c>
      <c r="D303" s="12">
        <f t="shared" si="28"/>
        <v>0</v>
      </c>
      <c r="E303" s="3">
        <f t="shared" si="29"/>
        <v>0</v>
      </c>
      <c r="F303" s="3">
        <f t="shared" si="30"/>
        <v>0</v>
      </c>
      <c r="G303" s="5">
        <f t="shared" si="31"/>
        <v>0</v>
      </c>
      <c r="H303" s="5">
        <v>0</v>
      </c>
      <c r="I303" s="5">
        <f t="shared" si="32"/>
        <v>0</v>
      </c>
      <c r="J303" s="5">
        <f t="shared" si="33"/>
        <v>0</v>
      </c>
      <c r="K303" s="2"/>
    </row>
    <row r="304" spans="1:11" x14ac:dyDescent="0.25">
      <c r="A304" s="8">
        <v>293</v>
      </c>
      <c r="B304" s="9">
        <v>53448</v>
      </c>
      <c r="C304" s="5">
        <f t="shared" si="34"/>
        <v>0</v>
      </c>
      <c r="D304" s="12">
        <f t="shared" si="28"/>
        <v>0</v>
      </c>
      <c r="E304" s="3">
        <f t="shared" si="29"/>
        <v>0</v>
      </c>
      <c r="F304" s="3">
        <f t="shared" si="30"/>
        <v>0</v>
      </c>
      <c r="G304" s="5">
        <f t="shared" si="31"/>
        <v>0</v>
      </c>
      <c r="H304" s="5">
        <v>0</v>
      </c>
      <c r="I304" s="5">
        <f t="shared" si="32"/>
        <v>0</v>
      </c>
      <c r="J304" s="5">
        <f t="shared" si="33"/>
        <v>0</v>
      </c>
      <c r="K304" s="2"/>
    </row>
    <row r="305" spans="1:11" x14ac:dyDescent="0.25">
      <c r="A305" s="8">
        <v>294</v>
      </c>
      <c r="B305" s="9">
        <v>53479</v>
      </c>
      <c r="C305" s="5">
        <f t="shared" si="34"/>
        <v>0</v>
      </c>
      <c r="D305" s="12">
        <f t="shared" si="28"/>
        <v>0</v>
      </c>
      <c r="E305" s="3">
        <f t="shared" si="29"/>
        <v>0</v>
      </c>
      <c r="F305" s="3">
        <f t="shared" si="30"/>
        <v>0</v>
      </c>
      <c r="G305" s="5">
        <f t="shared" si="31"/>
        <v>0</v>
      </c>
      <c r="H305" s="5">
        <v>0</v>
      </c>
      <c r="I305" s="5">
        <f t="shared" si="32"/>
        <v>0</v>
      </c>
      <c r="J305" s="5">
        <f t="shared" si="33"/>
        <v>0</v>
      </c>
      <c r="K305" s="2"/>
    </row>
    <row r="306" spans="1:11" x14ac:dyDescent="0.25">
      <c r="A306" s="8">
        <v>295</v>
      </c>
      <c r="B306" s="9">
        <v>53509</v>
      </c>
      <c r="C306" s="5">
        <f t="shared" si="34"/>
        <v>0</v>
      </c>
      <c r="D306" s="12">
        <f t="shared" si="28"/>
        <v>0</v>
      </c>
      <c r="E306" s="3">
        <f t="shared" si="29"/>
        <v>0</v>
      </c>
      <c r="F306" s="3">
        <f t="shared" si="30"/>
        <v>0</v>
      </c>
      <c r="G306" s="5">
        <f t="shared" si="31"/>
        <v>0</v>
      </c>
      <c r="H306" s="5">
        <v>0</v>
      </c>
      <c r="I306" s="5">
        <f t="shared" si="32"/>
        <v>0</v>
      </c>
      <c r="J306" s="5">
        <f t="shared" si="33"/>
        <v>0</v>
      </c>
      <c r="K306" s="2"/>
    </row>
    <row r="307" spans="1:11" x14ac:dyDescent="0.25">
      <c r="A307" s="8">
        <v>296</v>
      </c>
      <c r="B307" s="9">
        <v>53540</v>
      </c>
      <c r="C307" s="5">
        <f t="shared" si="34"/>
        <v>0</v>
      </c>
      <c r="D307" s="12">
        <f t="shared" si="28"/>
        <v>0</v>
      </c>
      <c r="E307" s="3">
        <f t="shared" si="29"/>
        <v>0</v>
      </c>
      <c r="F307" s="3">
        <f t="shared" si="30"/>
        <v>0</v>
      </c>
      <c r="G307" s="5">
        <f t="shared" si="31"/>
        <v>0</v>
      </c>
      <c r="H307" s="5">
        <v>0</v>
      </c>
      <c r="I307" s="5">
        <f t="shared" si="32"/>
        <v>0</v>
      </c>
      <c r="J307" s="5">
        <f t="shared" si="33"/>
        <v>0</v>
      </c>
      <c r="K307" s="2"/>
    </row>
    <row r="308" spans="1:11" x14ac:dyDescent="0.25">
      <c r="A308" s="8">
        <v>297</v>
      </c>
      <c r="B308" s="9">
        <v>53571</v>
      </c>
      <c r="C308" s="5">
        <f t="shared" si="34"/>
        <v>0</v>
      </c>
      <c r="D308" s="12">
        <f t="shared" si="28"/>
        <v>0</v>
      </c>
      <c r="E308" s="3">
        <f t="shared" si="29"/>
        <v>0</v>
      </c>
      <c r="F308" s="3">
        <f t="shared" si="30"/>
        <v>0</v>
      </c>
      <c r="G308" s="5">
        <f t="shared" si="31"/>
        <v>0</v>
      </c>
      <c r="H308" s="5">
        <v>0</v>
      </c>
      <c r="I308" s="5">
        <f t="shared" si="32"/>
        <v>0</v>
      </c>
      <c r="J308" s="5">
        <f t="shared" si="33"/>
        <v>0</v>
      </c>
      <c r="K308" s="2"/>
    </row>
    <row r="309" spans="1:11" x14ac:dyDescent="0.25">
      <c r="A309" s="8">
        <v>298</v>
      </c>
      <c r="B309" s="9">
        <v>53601</v>
      </c>
      <c r="C309" s="5">
        <f t="shared" si="34"/>
        <v>0</v>
      </c>
      <c r="D309" s="12">
        <f t="shared" si="28"/>
        <v>0</v>
      </c>
      <c r="E309" s="3">
        <f t="shared" si="29"/>
        <v>0</v>
      </c>
      <c r="F309" s="3">
        <f t="shared" si="30"/>
        <v>0</v>
      </c>
      <c r="G309" s="5">
        <f t="shared" si="31"/>
        <v>0</v>
      </c>
      <c r="H309" s="5">
        <v>0</v>
      </c>
      <c r="I309" s="5">
        <f t="shared" si="32"/>
        <v>0</v>
      </c>
      <c r="J309" s="5">
        <f t="shared" si="33"/>
        <v>0</v>
      </c>
      <c r="K309" s="2"/>
    </row>
    <row r="310" spans="1:11" x14ac:dyDescent="0.25">
      <c r="A310" s="8">
        <v>299</v>
      </c>
      <c r="B310" s="9">
        <v>53632</v>
      </c>
      <c r="C310" s="5">
        <f t="shared" si="34"/>
        <v>0</v>
      </c>
      <c r="D310" s="12">
        <f t="shared" si="28"/>
        <v>0</v>
      </c>
      <c r="E310" s="3">
        <f t="shared" si="29"/>
        <v>0</v>
      </c>
      <c r="F310" s="3">
        <f t="shared" si="30"/>
        <v>0</v>
      </c>
      <c r="G310" s="5">
        <f t="shared" si="31"/>
        <v>0</v>
      </c>
      <c r="H310" s="5">
        <v>0</v>
      </c>
      <c r="I310" s="5">
        <f t="shared" si="32"/>
        <v>0</v>
      </c>
      <c r="J310" s="5">
        <f t="shared" si="33"/>
        <v>0</v>
      </c>
      <c r="K310" s="2"/>
    </row>
    <row r="311" spans="1:11" x14ac:dyDescent="0.25">
      <c r="A311" s="8">
        <v>300</v>
      </c>
      <c r="B311" s="9">
        <v>53662</v>
      </c>
      <c r="C311" s="5">
        <f t="shared" si="34"/>
        <v>0</v>
      </c>
      <c r="D311" s="12">
        <f t="shared" si="28"/>
        <v>0</v>
      </c>
      <c r="E311" s="3">
        <f t="shared" si="29"/>
        <v>0</v>
      </c>
      <c r="F311" s="3">
        <f t="shared" si="30"/>
        <v>0</v>
      </c>
      <c r="G311" s="5">
        <f t="shared" si="31"/>
        <v>0</v>
      </c>
      <c r="H311" s="5">
        <v>0</v>
      </c>
      <c r="I311" s="5">
        <f t="shared" si="32"/>
        <v>0</v>
      </c>
      <c r="J311" s="5">
        <f t="shared" si="33"/>
        <v>0</v>
      </c>
      <c r="K311" s="2"/>
    </row>
    <row r="312" spans="1:11" x14ac:dyDescent="0.25">
      <c r="A312" s="8">
        <v>301</v>
      </c>
      <c r="B312" s="9">
        <v>53693</v>
      </c>
      <c r="C312" s="5">
        <f t="shared" si="34"/>
        <v>0</v>
      </c>
      <c r="D312" s="12">
        <f t="shared" si="28"/>
        <v>0</v>
      </c>
      <c r="E312" s="3">
        <f t="shared" si="29"/>
        <v>0</v>
      </c>
      <c r="F312" s="3">
        <f t="shared" si="30"/>
        <v>0</v>
      </c>
      <c r="G312" s="5">
        <f t="shared" si="31"/>
        <v>0</v>
      </c>
      <c r="H312" s="5">
        <v>0</v>
      </c>
      <c r="I312" s="5">
        <f t="shared" si="32"/>
        <v>0</v>
      </c>
      <c r="J312" s="5">
        <f t="shared" si="33"/>
        <v>0</v>
      </c>
      <c r="K312" s="2"/>
    </row>
    <row r="313" spans="1:11" x14ac:dyDescent="0.25">
      <c r="A313" s="8">
        <v>302</v>
      </c>
      <c r="B313" s="9">
        <v>53724</v>
      </c>
      <c r="C313" s="5">
        <f t="shared" si="34"/>
        <v>0</v>
      </c>
      <c r="D313" s="12">
        <f t="shared" si="28"/>
        <v>0</v>
      </c>
      <c r="E313" s="3">
        <f t="shared" si="29"/>
        <v>0</v>
      </c>
      <c r="F313" s="3">
        <f t="shared" si="30"/>
        <v>0</v>
      </c>
      <c r="G313" s="5">
        <f t="shared" si="31"/>
        <v>0</v>
      </c>
      <c r="H313" s="5">
        <v>0</v>
      </c>
      <c r="I313" s="5">
        <f t="shared" si="32"/>
        <v>0</v>
      </c>
      <c r="J313" s="5">
        <f t="shared" si="33"/>
        <v>0</v>
      </c>
      <c r="K313" s="2"/>
    </row>
    <row r="314" spans="1:11" x14ac:dyDescent="0.25">
      <c r="A314" s="8">
        <v>303</v>
      </c>
      <c r="B314" s="9">
        <v>53752</v>
      </c>
      <c r="C314" s="5">
        <f t="shared" si="34"/>
        <v>0</v>
      </c>
      <c r="D314" s="12">
        <f t="shared" si="28"/>
        <v>0</v>
      </c>
      <c r="E314" s="3">
        <f t="shared" si="29"/>
        <v>0</v>
      </c>
      <c r="F314" s="3">
        <f t="shared" si="30"/>
        <v>0</v>
      </c>
      <c r="G314" s="5">
        <f t="shared" si="31"/>
        <v>0</v>
      </c>
      <c r="H314" s="5">
        <v>0</v>
      </c>
      <c r="I314" s="5">
        <f t="shared" si="32"/>
        <v>0</v>
      </c>
      <c r="J314" s="5">
        <f t="shared" si="33"/>
        <v>0</v>
      </c>
      <c r="K314" s="2"/>
    </row>
    <row r="315" spans="1:11" x14ac:dyDescent="0.25">
      <c r="A315" s="8">
        <v>304</v>
      </c>
      <c r="B315" s="9">
        <v>53783</v>
      </c>
      <c r="C315" s="5">
        <f t="shared" si="34"/>
        <v>0</v>
      </c>
      <c r="D315" s="12">
        <f t="shared" si="28"/>
        <v>0</v>
      </c>
      <c r="E315" s="3">
        <f t="shared" si="29"/>
        <v>0</v>
      </c>
      <c r="F315" s="3">
        <f t="shared" si="30"/>
        <v>0</v>
      </c>
      <c r="G315" s="5">
        <f t="shared" si="31"/>
        <v>0</v>
      </c>
      <c r="H315" s="5">
        <v>0</v>
      </c>
      <c r="I315" s="5">
        <f t="shared" si="32"/>
        <v>0</v>
      </c>
      <c r="J315" s="5">
        <f t="shared" si="33"/>
        <v>0</v>
      </c>
      <c r="K315" s="2"/>
    </row>
    <row r="316" spans="1:11" x14ac:dyDescent="0.25">
      <c r="A316" s="8">
        <v>305</v>
      </c>
      <c r="B316" s="9">
        <v>53813</v>
      </c>
      <c r="C316" s="5">
        <f t="shared" si="34"/>
        <v>0</v>
      </c>
      <c r="D316" s="12">
        <f t="shared" si="28"/>
        <v>0</v>
      </c>
      <c r="E316" s="3">
        <f t="shared" si="29"/>
        <v>0</v>
      </c>
      <c r="F316" s="3">
        <f t="shared" si="30"/>
        <v>0</v>
      </c>
      <c r="G316" s="5">
        <f t="shared" si="31"/>
        <v>0</v>
      </c>
      <c r="H316" s="5">
        <v>0</v>
      </c>
      <c r="I316" s="5">
        <f t="shared" si="32"/>
        <v>0</v>
      </c>
      <c r="J316" s="5">
        <f t="shared" si="33"/>
        <v>0</v>
      </c>
      <c r="K316" s="2"/>
    </row>
    <row r="317" spans="1:11" x14ac:dyDescent="0.25">
      <c r="A317" s="8">
        <v>306</v>
      </c>
      <c r="B317" s="9">
        <v>53844</v>
      </c>
      <c r="C317" s="5">
        <f t="shared" si="34"/>
        <v>0</v>
      </c>
      <c r="D317" s="12">
        <f t="shared" si="28"/>
        <v>0</v>
      </c>
      <c r="E317" s="3">
        <f t="shared" si="29"/>
        <v>0</v>
      </c>
      <c r="F317" s="3">
        <f t="shared" si="30"/>
        <v>0</v>
      </c>
      <c r="G317" s="5">
        <f t="shared" si="31"/>
        <v>0</v>
      </c>
      <c r="H317" s="5">
        <v>0</v>
      </c>
      <c r="I317" s="5">
        <f t="shared" si="32"/>
        <v>0</v>
      </c>
      <c r="J317" s="5">
        <f t="shared" si="33"/>
        <v>0</v>
      </c>
      <c r="K317" s="2"/>
    </row>
    <row r="318" spans="1:11" x14ac:dyDescent="0.25">
      <c r="A318" s="8">
        <v>307</v>
      </c>
      <c r="B318" s="9">
        <v>53874</v>
      </c>
      <c r="C318" s="5">
        <f t="shared" si="34"/>
        <v>0</v>
      </c>
      <c r="D318" s="12">
        <f t="shared" si="28"/>
        <v>0</v>
      </c>
      <c r="E318" s="3">
        <f t="shared" si="29"/>
        <v>0</v>
      </c>
      <c r="F318" s="3">
        <f t="shared" si="30"/>
        <v>0</v>
      </c>
      <c r="G318" s="5">
        <f t="shared" si="31"/>
        <v>0</v>
      </c>
      <c r="H318" s="5">
        <v>0</v>
      </c>
      <c r="I318" s="5">
        <f t="shared" si="32"/>
        <v>0</v>
      </c>
      <c r="J318" s="5">
        <f t="shared" si="33"/>
        <v>0</v>
      </c>
      <c r="K318" s="2"/>
    </row>
    <row r="319" spans="1:11" x14ac:dyDescent="0.25">
      <c r="A319" s="8">
        <v>308</v>
      </c>
      <c r="B319" s="9">
        <v>53905</v>
      </c>
      <c r="C319" s="5">
        <f t="shared" si="34"/>
        <v>0</v>
      </c>
      <c r="D319" s="12">
        <f t="shared" si="28"/>
        <v>0</v>
      </c>
      <c r="E319" s="3">
        <f t="shared" si="29"/>
        <v>0</v>
      </c>
      <c r="F319" s="3">
        <f t="shared" si="30"/>
        <v>0</v>
      </c>
      <c r="G319" s="5">
        <f t="shared" si="31"/>
        <v>0</v>
      </c>
      <c r="H319" s="5">
        <v>0</v>
      </c>
      <c r="I319" s="5">
        <f t="shared" si="32"/>
        <v>0</v>
      </c>
      <c r="J319" s="5">
        <f t="shared" si="33"/>
        <v>0</v>
      </c>
      <c r="K319" s="2"/>
    </row>
    <row r="320" spans="1:11" x14ac:dyDescent="0.25">
      <c r="A320" s="8">
        <v>309</v>
      </c>
      <c r="B320" s="9">
        <v>53936</v>
      </c>
      <c r="C320" s="5">
        <f t="shared" si="34"/>
        <v>0</v>
      </c>
      <c r="D320" s="12">
        <f t="shared" si="28"/>
        <v>0</v>
      </c>
      <c r="E320" s="3">
        <f t="shared" si="29"/>
        <v>0</v>
      </c>
      <c r="F320" s="3">
        <f t="shared" si="30"/>
        <v>0</v>
      </c>
      <c r="G320" s="5">
        <f t="shared" si="31"/>
        <v>0</v>
      </c>
      <c r="H320" s="5">
        <v>0</v>
      </c>
      <c r="I320" s="5">
        <f t="shared" si="32"/>
        <v>0</v>
      </c>
      <c r="J320" s="5">
        <f t="shared" si="33"/>
        <v>0</v>
      </c>
      <c r="K320" s="2"/>
    </row>
    <row r="321" spans="1:11" x14ac:dyDescent="0.25">
      <c r="A321" s="8">
        <v>310</v>
      </c>
      <c r="B321" s="9">
        <v>53966</v>
      </c>
      <c r="C321" s="5">
        <f t="shared" si="34"/>
        <v>0</v>
      </c>
      <c r="D321" s="12">
        <f t="shared" si="28"/>
        <v>0</v>
      </c>
      <c r="E321" s="3">
        <f t="shared" si="29"/>
        <v>0</v>
      </c>
      <c r="F321" s="3">
        <f t="shared" si="30"/>
        <v>0</v>
      </c>
      <c r="G321" s="5">
        <f t="shared" si="31"/>
        <v>0</v>
      </c>
      <c r="H321" s="5">
        <v>0</v>
      </c>
      <c r="I321" s="5">
        <f t="shared" si="32"/>
        <v>0</v>
      </c>
      <c r="J321" s="5">
        <f t="shared" si="33"/>
        <v>0</v>
      </c>
      <c r="K321" s="2"/>
    </row>
    <row r="322" spans="1:11" x14ac:dyDescent="0.25">
      <c r="A322" s="8">
        <v>311</v>
      </c>
      <c r="B322" s="9">
        <v>53997</v>
      </c>
      <c r="C322" s="5">
        <f t="shared" si="34"/>
        <v>0</v>
      </c>
      <c r="D322" s="12">
        <f t="shared" si="28"/>
        <v>0</v>
      </c>
      <c r="E322" s="3">
        <f t="shared" si="29"/>
        <v>0</v>
      </c>
      <c r="F322" s="3">
        <f t="shared" si="30"/>
        <v>0</v>
      </c>
      <c r="G322" s="5">
        <f t="shared" si="31"/>
        <v>0</v>
      </c>
      <c r="H322" s="5">
        <v>0</v>
      </c>
      <c r="I322" s="5">
        <f t="shared" si="32"/>
        <v>0</v>
      </c>
      <c r="J322" s="5">
        <f t="shared" si="33"/>
        <v>0</v>
      </c>
      <c r="K322" s="2"/>
    </row>
    <row r="323" spans="1:11" x14ac:dyDescent="0.25">
      <c r="A323" s="8">
        <v>312</v>
      </c>
      <c r="B323" s="9">
        <v>54027</v>
      </c>
      <c r="C323" s="5">
        <f t="shared" si="34"/>
        <v>0</v>
      </c>
      <c r="D323" s="12">
        <f t="shared" si="28"/>
        <v>0</v>
      </c>
      <c r="E323" s="3">
        <f t="shared" si="29"/>
        <v>0</v>
      </c>
      <c r="F323" s="3">
        <f t="shared" si="30"/>
        <v>0</v>
      </c>
      <c r="G323" s="5">
        <f t="shared" si="31"/>
        <v>0</v>
      </c>
      <c r="H323" s="5">
        <v>0</v>
      </c>
      <c r="I323" s="5">
        <f t="shared" si="32"/>
        <v>0</v>
      </c>
      <c r="J323" s="5">
        <f t="shared" si="33"/>
        <v>0</v>
      </c>
      <c r="K323" s="2"/>
    </row>
    <row r="324" spans="1:11" x14ac:dyDescent="0.25">
      <c r="A324" s="8">
        <v>313</v>
      </c>
      <c r="B324" s="9">
        <v>54058</v>
      </c>
      <c r="C324" s="5">
        <f t="shared" si="34"/>
        <v>0</v>
      </c>
      <c r="D324" s="12">
        <f t="shared" si="28"/>
        <v>0</v>
      </c>
      <c r="E324" s="3">
        <f t="shared" si="29"/>
        <v>0</v>
      </c>
      <c r="F324" s="3">
        <f t="shared" si="30"/>
        <v>0</v>
      </c>
      <c r="G324" s="5">
        <f t="shared" si="31"/>
        <v>0</v>
      </c>
      <c r="H324" s="5">
        <v>0</v>
      </c>
      <c r="I324" s="5">
        <f t="shared" si="32"/>
        <v>0</v>
      </c>
      <c r="J324" s="5">
        <f t="shared" si="33"/>
        <v>0</v>
      </c>
      <c r="K324" s="2"/>
    </row>
    <row r="325" spans="1:11" x14ac:dyDescent="0.25">
      <c r="A325" s="8">
        <v>314</v>
      </c>
      <c r="B325" s="9">
        <v>54089</v>
      </c>
      <c r="C325" s="5">
        <f t="shared" si="34"/>
        <v>0</v>
      </c>
      <c r="D325" s="12">
        <f t="shared" si="28"/>
        <v>0</v>
      </c>
      <c r="E325" s="3">
        <f t="shared" si="29"/>
        <v>0</v>
      </c>
      <c r="F325" s="3">
        <f t="shared" si="30"/>
        <v>0</v>
      </c>
      <c r="G325" s="5">
        <f t="shared" si="31"/>
        <v>0</v>
      </c>
      <c r="H325" s="5">
        <v>0</v>
      </c>
      <c r="I325" s="5">
        <f t="shared" si="32"/>
        <v>0</v>
      </c>
      <c r="J325" s="5">
        <f t="shared" si="33"/>
        <v>0</v>
      </c>
      <c r="K325" s="2"/>
    </row>
    <row r="326" spans="1:11" x14ac:dyDescent="0.25">
      <c r="A326" s="8">
        <v>315</v>
      </c>
      <c r="B326" s="9">
        <v>54118</v>
      </c>
      <c r="C326" s="5">
        <f t="shared" si="34"/>
        <v>0</v>
      </c>
      <c r="D326" s="12">
        <f t="shared" si="28"/>
        <v>0</v>
      </c>
      <c r="E326" s="3">
        <f t="shared" si="29"/>
        <v>0</v>
      </c>
      <c r="F326" s="3">
        <f t="shared" si="30"/>
        <v>0</v>
      </c>
      <c r="G326" s="5">
        <f t="shared" si="31"/>
        <v>0</v>
      </c>
      <c r="H326" s="5">
        <v>0</v>
      </c>
      <c r="I326" s="5">
        <f t="shared" si="32"/>
        <v>0</v>
      </c>
      <c r="J326" s="5">
        <f t="shared" si="33"/>
        <v>0</v>
      </c>
      <c r="K326" s="2"/>
    </row>
    <row r="327" spans="1:11" x14ac:dyDescent="0.25">
      <c r="A327" s="8">
        <v>316</v>
      </c>
      <c r="B327" s="9">
        <v>54149</v>
      </c>
      <c r="C327" s="5">
        <f t="shared" si="34"/>
        <v>0</v>
      </c>
      <c r="D327" s="12">
        <f t="shared" si="28"/>
        <v>0</v>
      </c>
      <c r="E327" s="3">
        <f t="shared" si="29"/>
        <v>0</v>
      </c>
      <c r="F327" s="3">
        <f t="shared" si="30"/>
        <v>0</v>
      </c>
      <c r="G327" s="5">
        <f t="shared" si="31"/>
        <v>0</v>
      </c>
      <c r="H327" s="5">
        <v>0</v>
      </c>
      <c r="I327" s="5">
        <f t="shared" si="32"/>
        <v>0</v>
      </c>
      <c r="J327" s="5">
        <f t="shared" si="33"/>
        <v>0</v>
      </c>
      <c r="K327" s="2"/>
    </row>
    <row r="328" spans="1:11" x14ac:dyDescent="0.25">
      <c r="A328" s="8">
        <v>317</v>
      </c>
      <c r="B328" s="9">
        <v>54179</v>
      </c>
      <c r="C328" s="5">
        <f t="shared" si="34"/>
        <v>0</v>
      </c>
      <c r="D328" s="12">
        <f t="shared" si="28"/>
        <v>0</v>
      </c>
      <c r="E328" s="3">
        <f t="shared" si="29"/>
        <v>0</v>
      </c>
      <c r="F328" s="3">
        <f t="shared" si="30"/>
        <v>0</v>
      </c>
      <c r="G328" s="5">
        <f t="shared" si="31"/>
        <v>0</v>
      </c>
      <c r="H328" s="5">
        <v>0</v>
      </c>
      <c r="I328" s="5">
        <f t="shared" si="32"/>
        <v>0</v>
      </c>
      <c r="J328" s="5">
        <f t="shared" si="33"/>
        <v>0</v>
      </c>
      <c r="K328" s="2"/>
    </row>
    <row r="329" spans="1:11" x14ac:dyDescent="0.25">
      <c r="A329" s="8">
        <v>318</v>
      </c>
      <c r="B329" s="9">
        <v>54210</v>
      </c>
      <c r="C329" s="5">
        <f t="shared" si="34"/>
        <v>0</v>
      </c>
      <c r="D329" s="12">
        <f t="shared" si="28"/>
        <v>0</v>
      </c>
      <c r="E329" s="3">
        <f t="shared" si="29"/>
        <v>0</v>
      </c>
      <c r="F329" s="3">
        <f t="shared" si="30"/>
        <v>0</v>
      </c>
      <c r="G329" s="5">
        <f t="shared" si="31"/>
        <v>0</v>
      </c>
      <c r="H329" s="5">
        <v>0</v>
      </c>
      <c r="I329" s="5">
        <f t="shared" si="32"/>
        <v>0</v>
      </c>
      <c r="J329" s="5">
        <f t="shared" si="33"/>
        <v>0</v>
      </c>
      <c r="K329" s="2"/>
    </row>
    <row r="330" spans="1:11" x14ac:dyDescent="0.25">
      <c r="A330" s="8">
        <v>319</v>
      </c>
      <c r="B330" s="9">
        <v>54240</v>
      </c>
      <c r="C330" s="5">
        <f t="shared" si="34"/>
        <v>0</v>
      </c>
      <c r="D330" s="12">
        <f t="shared" si="28"/>
        <v>0</v>
      </c>
      <c r="E330" s="3">
        <f t="shared" si="29"/>
        <v>0</v>
      </c>
      <c r="F330" s="3">
        <f t="shared" si="30"/>
        <v>0</v>
      </c>
      <c r="G330" s="5">
        <f t="shared" si="31"/>
        <v>0</v>
      </c>
      <c r="H330" s="5">
        <v>0</v>
      </c>
      <c r="I330" s="5">
        <f t="shared" si="32"/>
        <v>0</v>
      </c>
      <c r="J330" s="5">
        <f t="shared" si="33"/>
        <v>0</v>
      </c>
      <c r="K330" s="2"/>
    </row>
    <row r="331" spans="1:11" x14ac:dyDescent="0.25">
      <c r="A331" s="8">
        <v>320</v>
      </c>
      <c r="B331" s="9">
        <v>54271</v>
      </c>
      <c r="C331" s="5">
        <f t="shared" si="34"/>
        <v>0</v>
      </c>
      <c r="D331" s="12">
        <f t="shared" si="28"/>
        <v>0</v>
      </c>
      <c r="E331" s="3">
        <f t="shared" si="29"/>
        <v>0</v>
      </c>
      <c r="F331" s="3">
        <f t="shared" si="30"/>
        <v>0</v>
      </c>
      <c r="G331" s="5">
        <f t="shared" si="31"/>
        <v>0</v>
      </c>
      <c r="H331" s="5">
        <v>0</v>
      </c>
      <c r="I331" s="5">
        <f t="shared" si="32"/>
        <v>0</v>
      </c>
      <c r="J331" s="5">
        <f t="shared" si="33"/>
        <v>0</v>
      </c>
      <c r="K331" s="2"/>
    </row>
    <row r="332" spans="1:11" x14ac:dyDescent="0.25">
      <c r="A332" s="8">
        <v>321</v>
      </c>
      <c r="B332" s="9">
        <v>54302</v>
      </c>
      <c r="C332" s="5">
        <f t="shared" si="34"/>
        <v>0</v>
      </c>
      <c r="D332" s="12">
        <f t="shared" si="28"/>
        <v>0</v>
      </c>
      <c r="E332" s="3">
        <f t="shared" si="29"/>
        <v>0</v>
      </c>
      <c r="F332" s="3">
        <f t="shared" si="30"/>
        <v>0</v>
      </c>
      <c r="G332" s="5">
        <f t="shared" si="31"/>
        <v>0</v>
      </c>
      <c r="H332" s="5">
        <v>0</v>
      </c>
      <c r="I332" s="5">
        <f t="shared" si="32"/>
        <v>0</v>
      </c>
      <c r="J332" s="5">
        <f t="shared" si="33"/>
        <v>0</v>
      </c>
      <c r="K332" s="2"/>
    </row>
    <row r="333" spans="1:11" x14ac:dyDescent="0.25">
      <c r="A333" s="8">
        <v>322</v>
      </c>
      <c r="B333" s="9">
        <v>54332</v>
      </c>
      <c r="C333" s="5">
        <f t="shared" si="34"/>
        <v>0</v>
      </c>
      <c r="D333" s="12">
        <f t="shared" ref="D333:D396" si="35">C333*$C$6</f>
        <v>0</v>
      </c>
      <c r="E333" s="3">
        <f t="shared" ref="E333:E396" si="36">C333+D333</f>
        <v>0</v>
      </c>
      <c r="F333" s="3">
        <f t="shared" ref="F333:F396" si="37">IF(C333&gt;0,$C$4/$C$8,0)</f>
        <v>0</v>
      </c>
      <c r="G333" s="5">
        <f t="shared" ref="G333:G396" si="38">IF(C333&gt;0,F333+D333,0)</f>
        <v>0</v>
      </c>
      <c r="H333" s="5">
        <v>0</v>
      </c>
      <c r="I333" s="5">
        <f t="shared" ref="I333:I396" si="39">IF(C333&gt;0,H333+G333,0)</f>
        <v>0</v>
      </c>
      <c r="J333" s="5">
        <f t="shared" ref="J333:J396" si="40">IF(E333-I333&gt;0,ROUND(E333-I333,2),0)</f>
        <v>0</v>
      </c>
      <c r="K333" s="2"/>
    </row>
    <row r="334" spans="1:11" x14ac:dyDescent="0.25">
      <c r="A334" s="8">
        <v>323</v>
      </c>
      <c r="B334" s="9">
        <v>54363</v>
      </c>
      <c r="C334" s="5">
        <f t="shared" ref="C334:C397" si="41">IF(J333&gt;0,J333,0)</f>
        <v>0</v>
      </c>
      <c r="D334" s="12">
        <f t="shared" si="35"/>
        <v>0</v>
      </c>
      <c r="E334" s="3">
        <f t="shared" si="36"/>
        <v>0</v>
      </c>
      <c r="F334" s="3">
        <f t="shared" si="37"/>
        <v>0</v>
      </c>
      <c r="G334" s="5">
        <f t="shared" si="38"/>
        <v>0</v>
      </c>
      <c r="H334" s="5">
        <v>0</v>
      </c>
      <c r="I334" s="5">
        <f t="shared" si="39"/>
        <v>0</v>
      </c>
      <c r="J334" s="5">
        <f t="shared" si="40"/>
        <v>0</v>
      </c>
      <c r="K334" s="2"/>
    </row>
    <row r="335" spans="1:11" x14ac:dyDescent="0.25">
      <c r="A335" s="8">
        <v>324</v>
      </c>
      <c r="B335" s="9">
        <v>54393</v>
      </c>
      <c r="C335" s="5">
        <f t="shared" si="41"/>
        <v>0</v>
      </c>
      <c r="D335" s="12">
        <f t="shared" si="35"/>
        <v>0</v>
      </c>
      <c r="E335" s="3">
        <f t="shared" si="36"/>
        <v>0</v>
      </c>
      <c r="F335" s="3">
        <f t="shared" si="37"/>
        <v>0</v>
      </c>
      <c r="G335" s="5">
        <f t="shared" si="38"/>
        <v>0</v>
      </c>
      <c r="H335" s="5">
        <v>0</v>
      </c>
      <c r="I335" s="5">
        <f t="shared" si="39"/>
        <v>0</v>
      </c>
      <c r="J335" s="5">
        <f t="shared" si="40"/>
        <v>0</v>
      </c>
      <c r="K335" s="2"/>
    </row>
    <row r="336" spans="1:11" x14ac:dyDescent="0.25">
      <c r="A336" s="8">
        <v>325</v>
      </c>
      <c r="B336" s="9">
        <v>54424</v>
      </c>
      <c r="C336" s="5">
        <f t="shared" si="41"/>
        <v>0</v>
      </c>
      <c r="D336" s="12">
        <f t="shared" si="35"/>
        <v>0</v>
      </c>
      <c r="E336" s="3">
        <f t="shared" si="36"/>
        <v>0</v>
      </c>
      <c r="F336" s="3">
        <f t="shared" si="37"/>
        <v>0</v>
      </c>
      <c r="G336" s="5">
        <f t="shared" si="38"/>
        <v>0</v>
      </c>
      <c r="H336" s="5">
        <v>0</v>
      </c>
      <c r="I336" s="5">
        <f t="shared" si="39"/>
        <v>0</v>
      </c>
      <c r="J336" s="5">
        <f t="shared" si="40"/>
        <v>0</v>
      </c>
      <c r="K336" s="2"/>
    </row>
    <row r="337" spans="1:11" x14ac:dyDescent="0.25">
      <c r="A337" s="8">
        <v>326</v>
      </c>
      <c r="B337" s="9">
        <v>54455</v>
      </c>
      <c r="C337" s="5">
        <f t="shared" si="41"/>
        <v>0</v>
      </c>
      <c r="D337" s="12">
        <f t="shared" si="35"/>
        <v>0</v>
      </c>
      <c r="E337" s="3">
        <f t="shared" si="36"/>
        <v>0</v>
      </c>
      <c r="F337" s="3">
        <f t="shared" si="37"/>
        <v>0</v>
      </c>
      <c r="G337" s="5">
        <f t="shared" si="38"/>
        <v>0</v>
      </c>
      <c r="H337" s="5">
        <v>0</v>
      </c>
      <c r="I337" s="5">
        <f t="shared" si="39"/>
        <v>0</v>
      </c>
      <c r="J337" s="5">
        <f t="shared" si="40"/>
        <v>0</v>
      </c>
      <c r="K337" s="2"/>
    </row>
    <row r="338" spans="1:11" x14ac:dyDescent="0.25">
      <c r="A338" s="8">
        <v>327</v>
      </c>
      <c r="B338" s="9">
        <v>54483</v>
      </c>
      <c r="C338" s="5">
        <f t="shared" si="41"/>
        <v>0</v>
      </c>
      <c r="D338" s="12">
        <f t="shared" si="35"/>
        <v>0</v>
      </c>
      <c r="E338" s="3">
        <f t="shared" si="36"/>
        <v>0</v>
      </c>
      <c r="F338" s="3">
        <f t="shared" si="37"/>
        <v>0</v>
      </c>
      <c r="G338" s="5">
        <f t="shared" si="38"/>
        <v>0</v>
      </c>
      <c r="H338" s="5">
        <v>0</v>
      </c>
      <c r="I338" s="5">
        <f t="shared" si="39"/>
        <v>0</v>
      </c>
      <c r="J338" s="5">
        <f t="shared" si="40"/>
        <v>0</v>
      </c>
      <c r="K338" s="2"/>
    </row>
    <row r="339" spans="1:11" x14ac:dyDescent="0.25">
      <c r="A339" s="8">
        <v>328</v>
      </c>
      <c r="B339" s="9">
        <v>54514</v>
      </c>
      <c r="C339" s="5">
        <f t="shared" si="41"/>
        <v>0</v>
      </c>
      <c r="D339" s="12">
        <f t="shared" si="35"/>
        <v>0</v>
      </c>
      <c r="E339" s="3">
        <f t="shared" si="36"/>
        <v>0</v>
      </c>
      <c r="F339" s="3">
        <f t="shared" si="37"/>
        <v>0</v>
      </c>
      <c r="G339" s="5">
        <f t="shared" si="38"/>
        <v>0</v>
      </c>
      <c r="H339" s="5">
        <v>0</v>
      </c>
      <c r="I339" s="5">
        <f t="shared" si="39"/>
        <v>0</v>
      </c>
      <c r="J339" s="5">
        <f t="shared" si="40"/>
        <v>0</v>
      </c>
      <c r="K339" s="2"/>
    </row>
    <row r="340" spans="1:11" x14ac:dyDescent="0.25">
      <c r="A340" s="8">
        <v>329</v>
      </c>
      <c r="B340" s="9">
        <v>54544</v>
      </c>
      <c r="C340" s="5">
        <f t="shared" si="41"/>
        <v>0</v>
      </c>
      <c r="D340" s="12">
        <f t="shared" si="35"/>
        <v>0</v>
      </c>
      <c r="E340" s="3">
        <f t="shared" si="36"/>
        <v>0</v>
      </c>
      <c r="F340" s="3">
        <f t="shared" si="37"/>
        <v>0</v>
      </c>
      <c r="G340" s="5">
        <f t="shared" si="38"/>
        <v>0</v>
      </c>
      <c r="H340" s="5">
        <v>0</v>
      </c>
      <c r="I340" s="5">
        <f t="shared" si="39"/>
        <v>0</v>
      </c>
      <c r="J340" s="5">
        <f t="shared" si="40"/>
        <v>0</v>
      </c>
      <c r="K340" s="2"/>
    </row>
    <row r="341" spans="1:11" x14ac:dyDescent="0.25">
      <c r="A341" s="8">
        <v>330</v>
      </c>
      <c r="B341" s="9">
        <v>54575</v>
      </c>
      <c r="C341" s="5">
        <f t="shared" si="41"/>
        <v>0</v>
      </c>
      <c r="D341" s="12">
        <f t="shared" si="35"/>
        <v>0</v>
      </c>
      <c r="E341" s="3">
        <f t="shared" si="36"/>
        <v>0</v>
      </c>
      <c r="F341" s="3">
        <f t="shared" si="37"/>
        <v>0</v>
      </c>
      <c r="G341" s="5">
        <f t="shared" si="38"/>
        <v>0</v>
      </c>
      <c r="H341" s="5">
        <v>0</v>
      </c>
      <c r="I341" s="5">
        <f t="shared" si="39"/>
        <v>0</v>
      </c>
      <c r="J341" s="5">
        <f t="shared" si="40"/>
        <v>0</v>
      </c>
      <c r="K341" s="2"/>
    </row>
    <row r="342" spans="1:11" x14ac:dyDescent="0.25">
      <c r="A342" s="8">
        <v>331</v>
      </c>
      <c r="B342" s="9">
        <v>54605</v>
      </c>
      <c r="C342" s="5">
        <f t="shared" si="41"/>
        <v>0</v>
      </c>
      <c r="D342" s="12">
        <f t="shared" si="35"/>
        <v>0</v>
      </c>
      <c r="E342" s="3">
        <f t="shared" si="36"/>
        <v>0</v>
      </c>
      <c r="F342" s="3">
        <f t="shared" si="37"/>
        <v>0</v>
      </c>
      <c r="G342" s="5">
        <f t="shared" si="38"/>
        <v>0</v>
      </c>
      <c r="H342" s="5">
        <v>0</v>
      </c>
      <c r="I342" s="5">
        <f t="shared" si="39"/>
        <v>0</v>
      </c>
      <c r="J342" s="5">
        <f t="shared" si="40"/>
        <v>0</v>
      </c>
      <c r="K342" s="2"/>
    </row>
    <row r="343" spans="1:11" x14ac:dyDescent="0.25">
      <c r="A343" s="8">
        <v>332</v>
      </c>
      <c r="B343" s="9">
        <v>54636</v>
      </c>
      <c r="C343" s="5">
        <f t="shared" si="41"/>
        <v>0</v>
      </c>
      <c r="D343" s="12">
        <f t="shared" si="35"/>
        <v>0</v>
      </c>
      <c r="E343" s="3">
        <f t="shared" si="36"/>
        <v>0</v>
      </c>
      <c r="F343" s="3">
        <f t="shared" si="37"/>
        <v>0</v>
      </c>
      <c r="G343" s="5">
        <f t="shared" si="38"/>
        <v>0</v>
      </c>
      <c r="H343" s="5">
        <v>0</v>
      </c>
      <c r="I343" s="5">
        <f t="shared" si="39"/>
        <v>0</v>
      </c>
      <c r="J343" s="5">
        <f t="shared" si="40"/>
        <v>0</v>
      </c>
      <c r="K343" s="2"/>
    </row>
    <row r="344" spans="1:11" x14ac:dyDescent="0.25">
      <c r="A344" s="8">
        <v>333</v>
      </c>
      <c r="B344" s="9">
        <v>54667</v>
      </c>
      <c r="C344" s="5">
        <f t="shared" si="41"/>
        <v>0</v>
      </c>
      <c r="D344" s="12">
        <f t="shared" si="35"/>
        <v>0</v>
      </c>
      <c r="E344" s="3">
        <f t="shared" si="36"/>
        <v>0</v>
      </c>
      <c r="F344" s="3">
        <f t="shared" si="37"/>
        <v>0</v>
      </c>
      <c r="G344" s="5">
        <f t="shared" si="38"/>
        <v>0</v>
      </c>
      <c r="H344" s="5">
        <v>0</v>
      </c>
      <c r="I344" s="5">
        <f t="shared" si="39"/>
        <v>0</v>
      </c>
      <c r="J344" s="5">
        <f t="shared" si="40"/>
        <v>0</v>
      </c>
      <c r="K344" s="2"/>
    </row>
    <row r="345" spans="1:11" x14ac:dyDescent="0.25">
      <c r="A345" s="8">
        <v>334</v>
      </c>
      <c r="B345" s="9">
        <v>54697</v>
      </c>
      <c r="C345" s="5">
        <f t="shared" si="41"/>
        <v>0</v>
      </c>
      <c r="D345" s="12">
        <f t="shared" si="35"/>
        <v>0</v>
      </c>
      <c r="E345" s="3">
        <f t="shared" si="36"/>
        <v>0</v>
      </c>
      <c r="F345" s="3">
        <f t="shared" si="37"/>
        <v>0</v>
      </c>
      <c r="G345" s="5">
        <f t="shared" si="38"/>
        <v>0</v>
      </c>
      <c r="H345" s="5">
        <v>0</v>
      </c>
      <c r="I345" s="5">
        <f t="shared" si="39"/>
        <v>0</v>
      </c>
      <c r="J345" s="5">
        <f t="shared" si="40"/>
        <v>0</v>
      </c>
      <c r="K345" s="2"/>
    </row>
    <row r="346" spans="1:11" x14ac:dyDescent="0.25">
      <c r="A346" s="8">
        <v>335</v>
      </c>
      <c r="B346" s="9">
        <v>54728</v>
      </c>
      <c r="C346" s="5">
        <f t="shared" si="41"/>
        <v>0</v>
      </c>
      <c r="D346" s="12">
        <f t="shared" si="35"/>
        <v>0</v>
      </c>
      <c r="E346" s="3">
        <f t="shared" si="36"/>
        <v>0</v>
      </c>
      <c r="F346" s="3">
        <f t="shared" si="37"/>
        <v>0</v>
      </c>
      <c r="G346" s="5">
        <f t="shared" si="38"/>
        <v>0</v>
      </c>
      <c r="H346" s="5">
        <v>0</v>
      </c>
      <c r="I346" s="5">
        <f t="shared" si="39"/>
        <v>0</v>
      </c>
      <c r="J346" s="5">
        <f t="shared" si="40"/>
        <v>0</v>
      </c>
      <c r="K346" s="2"/>
    </row>
    <row r="347" spans="1:11" x14ac:dyDescent="0.25">
      <c r="A347" s="8">
        <v>336</v>
      </c>
      <c r="B347" s="9">
        <v>54758</v>
      </c>
      <c r="C347" s="5">
        <f t="shared" si="41"/>
        <v>0</v>
      </c>
      <c r="D347" s="12">
        <f t="shared" si="35"/>
        <v>0</v>
      </c>
      <c r="E347" s="3">
        <f t="shared" si="36"/>
        <v>0</v>
      </c>
      <c r="F347" s="3">
        <f t="shared" si="37"/>
        <v>0</v>
      </c>
      <c r="G347" s="5">
        <f t="shared" si="38"/>
        <v>0</v>
      </c>
      <c r="H347" s="5">
        <v>0</v>
      </c>
      <c r="I347" s="5">
        <f t="shared" si="39"/>
        <v>0</v>
      </c>
      <c r="J347" s="5">
        <f t="shared" si="40"/>
        <v>0</v>
      </c>
      <c r="K347" s="2"/>
    </row>
    <row r="348" spans="1:11" x14ac:dyDescent="0.25">
      <c r="A348" s="8">
        <v>337</v>
      </c>
      <c r="B348" s="9">
        <v>54789</v>
      </c>
      <c r="C348" s="5">
        <f t="shared" si="41"/>
        <v>0</v>
      </c>
      <c r="D348" s="12">
        <f t="shared" si="35"/>
        <v>0</v>
      </c>
      <c r="E348" s="3">
        <f t="shared" si="36"/>
        <v>0</v>
      </c>
      <c r="F348" s="3">
        <f t="shared" si="37"/>
        <v>0</v>
      </c>
      <c r="G348" s="5">
        <f t="shared" si="38"/>
        <v>0</v>
      </c>
      <c r="H348" s="5">
        <v>0</v>
      </c>
      <c r="I348" s="5">
        <f t="shared" si="39"/>
        <v>0</v>
      </c>
      <c r="J348" s="5">
        <f t="shared" si="40"/>
        <v>0</v>
      </c>
      <c r="K348" s="2"/>
    </row>
    <row r="349" spans="1:11" x14ac:dyDescent="0.25">
      <c r="A349" s="8">
        <v>338</v>
      </c>
      <c r="B349" s="9">
        <v>54820</v>
      </c>
      <c r="C349" s="5">
        <f t="shared" si="41"/>
        <v>0</v>
      </c>
      <c r="D349" s="12">
        <f t="shared" si="35"/>
        <v>0</v>
      </c>
      <c r="E349" s="3">
        <f t="shared" si="36"/>
        <v>0</v>
      </c>
      <c r="F349" s="3">
        <f t="shared" si="37"/>
        <v>0</v>
      </c>
      <c r="G349" s="5">
        <f t="shared" si="38"/>
        <v>0</v>
      </c>
      <c r="H349" s="5">
        <v>0</v>
      </c>
      <c r="I349" s="5">
        <f t="shared" si="39"/>
        <v>0</v>
      </c>
      <c r="J349" s="5">
        <f t="shared" si="40"/>
        <v>0</v>
      </c>
      <c r="K349" s="2"/>
    </row>
    <row r="350" spans="1:11" x14ac:dyDescent="0.25">
      <c r="A350" s="8">
        <v>339</v>
      </c>
      <c r="B350" s="9">
        <v>54848</v>
      </c>
      <c r="C350" s="5">
        <f t="shared" si="41"/>
        <v>0</v>
      </c>
      <c r="D350" s="12">
        <f t="shared" si="35"/>
        <v>0</v>
      </c>
      <c r="E350" s="3">
        <f t="shared" si="36"/>
        <v>0</v>
      </c>
      <c r="F350" s="3">
        <f t="shared" si="37"/>
        <v>0</v>
      </c>
      <c r="G350" s="5">
        <f t="shared" si="38"/>
        <v>0</v>
      </c>
      <c r="H350" s="5">
        <v>0</v>
      </c>
      <c r="I350" s="5">
        <f t="shared" si="39"/>
        <v>0</v>
      </c>
      <c r="J350" s="5">
        <f t="shared" si="40"/>
        <v>0</v>
      </c>
      <c r="K350" s="2"/>
    </row>
    <row r="351" spans="1:11" x14ac:dyDescent="0.25">
      <c r="A351" s="8">
        <v>340</v>
      </c>
      <c r="B351" s="9">
        <v>54879</v>
      </c>
      <c r="C351" s="5">
        <f t="shared" si="41"/>
        <v>0</v>
      </c>
      <c r="D351" s="12">
        <f t="shared" si="35"/>
        <v>0</v>
      </c>
      <c r="E351" s="3">
        <f t="shared" si="36"/>
        <v>0</v>
      </c>
      <c r="F351" s="3">
        <f t="shared" si="37"/>
        <v>0</v>
      </c>
      <c r="G351" s="5">
        <f t="shared" si="38"/>
        <v>0</v>
      </c>
      <c r="H351" s="5">
        <v>0</v>
      </c>
      <c r="I351" s="5">
        <f t="shared" si="39"/>
        <v>0</v>
      </c>
      <c r="J351" s="5">
        <f t="shared" si="40"/>
        <v>0</v>
      </c>
      <c r="K351" s="2"/>
    </row>
    <row r="352" spans="1:11" x14ac:dyDescent="0.25">
      <c r="A352" s="8">
        <v>341</v>
      </c>
      <c r="B352" s="9">
        <v>54909</v>
      </c>
      <c r="C352" s="5">
        <f t="shared" si="41"/>
        <v>0</v>
      </c>
      <c r="D352" s="12">
        <f t="shared" si="35"/>
        <v>0</v>
      </c>
      <c r="E352" s="3">
        <f t="shared" si="36"/>
        <v>0</v>
      </c>
      <c r="F352" s="3">
        <f t="shared" si="37"/>
        <v>0</v>
      </c>
      <c r="G352" s="5">
        <f t="shared" si="38"/>
        <v>0</v>
      </c>
      <c r="H352" s="5">
        <v>0</v>
      </c>
      <c r="I352" s="5">
        <f t="shared" si="39"/>
        <v>0</v>
      </c>
      <c r="J352" s="5">
        <f t="shared" si="40"/>
        <v>0</v>
      </c>
      <c r="K352" s="2"/>
    </row>
    <row r="353" spans="1:11" x14ac:dyDescent="0.25">
      <c r="A353" s="8">
        <v>342</v>
      </c>
      <c r="B353" s="9">
        <v>54940</v>
      </c>
      <c r="C353" s="5">
        <f t="shared" si="41"/>
        <v>0</v>
      </c>
      <c r="D353" s="12">
        <f t="shared" si="35"/>
        <v>0</v>
      </c>
      <c r="E353" s="3">
        <f t="shared" si="36"/>
        <v>0</v>
      </c>
      <c r="F353" s="3">
        <f t="shared" si="37"/>
        <v>0</v>
      </c>
      <c r="G353" s="5">
        <f t="shared" si="38"/>
        <v>0</v>
      </c>
      <c r="H353" s="5">
        <v>0</v>
      </c>
      <c r="I353" s="5">
        <f t="shared" si="39"/>
        <v>0</v>
      </c>
      <c r="J353" s="5">
        <f t="shared" si="40"/>
        <v>0</v>
      </c>
      <c r="K353" s="2"/>
    </row>
    <row r="354" spans="1:11" x14ac:dyDescent="0.25">
      <c r="A354" s="8">
        <v>343</v>
      </c>
      <c r="B354" s="9">
        <v>54970</v>
      </c>
      <c r="C354" s="5">
        <f t="shared" si="41"/>
        <v>0</v>
      </c>
      <c r="D354" s="12">
        <f t="shared" si="35"/>
        <v>0</v>
      </c>
      <c r="E354" s="3">
        <f t="shared" si="36"/>
        <v>0</v>
      </c>
      <c r="F354" s="3">
        <f t="shared" si="37"/>
        <v>0</v>
      </c>
      <c r="G354" s="5">
        <f t="shared" si="38"/>
        <v>0</v>
      </c>
      <c r="H354" s="5">
        <v>0</v>
      </c>
      <c r="I354" s="5">
        <f t="shared" si="39"/>
        <v>0</v>
      </c>
      <c r="J354" s="5">
        <f t="shared" si="40"/>
        <v>0</v>
      </c>
      <c r="K354" s="2"/>
    </row>
    <row r="355" spans="1:11" x14ac:dyDescent="0.25">
      <c r="A355" s="8">
        <v>344</v>
      </c>
      <c r="B355" s="9">
        <v>55001</v>
      </c>
      <c r="C355" s="5">
        <f t="shared" si="41"/>
        <v>0</v>
      </c>
      <c r="D355" s="12">
        <f t="shared" si="35"/>
        <v>0</v>
      </c>
      <c r="E355" s="3">
        <f t="shared" si="36"/>
        <v>0</v>
      </c>
      <c r="F355" s="3">
        <f t="shared" si="37"/>
        <v>0</v>
      </c>
      <c r="G355" s="5">
        <f t="shared" si="38"/>
        <v>0</v>
      </c>
      <c r="H355" s="5">
        <v>0</v>
      </c>
      <c r="I355" s="5">
        <f t="shared" si="39"/>
        <v>0</v>
      </c>
      <c r="J355" s="5">
        <f t="shared" si="40"/>
        <v>0</v>
      </c>
      <c r="K355" s="2"/>
    </row>
    <row r="356" spans="1:11" x14ac:dyDescent="0.25">
      <c r="A356" s="8">
        <v>345</v>
      </c>
      <c r="B356" s="9">
        <v>55032</v>
      </c>
      <c r="C356" s="5">
        <f t="shared" si="41"/>
        <v>0</v>
      </c>
      <c r="D356" s="12">
        <f t="shared" si="35"/>
        <v>0</v>
      </c>
      <c r="E356" s="3">
        <f t="shared" si="36"/>
        <v>0</v>
      </c>
      <c r="F356" s="3">
        <f t="shared" si="37"/>
        <v>0</v>
      </c>
      <c r="G356" s="5">
        <f t="shared" si="38"/>
        <v>0</v>
      </c>
      <c r="H356" s="5">
        <v>0</v>
      </c>
      <c r="I356" s="5">
        <f t="shared" si="39"/>
        <v>0</v>
      </c>
      <c r="J356" s="5">
        <f t="shared" si="40"/>
        <v>0</v>
      </c>
      <c r="K356" s="2"/>
    </row>
    <row r="357" spans="1:11" x14ac:dyDescent="0.25">
      <c r="A357" s="8">
        <v>346</v>
      </c>
      <c r="B357" s="9">
        <v>55062</v>
      </c>
      <c r="C357" s="5">
        <f t="shared" si="41"/>
        <v>0</v>
      </c>
      <c r="D357" s="12">
        <f t="shared" si="35"/>
        <v>0</v>
      </c>
      <c r="E357" s="3">
        <f t="shared" si="36"/>
        <v>0</v>
      </c>
      <c r="F357" s="3">
        <f t="shared" si="37"/>
        <v>0</v>
      </c>
      <c r="G357" s="5">
        <f t="shared" si="38"/>
        <v>0</v>
      </c>
      <c r="H357" s="5">
        <v>0</v>
      </c>
      <c r="I357" s="5">
        <f t="shared" si="39"/>
        <v>0</v>
      </c>
      <c r="J357" s="5">
        <f t="shared" si="40"/>
        <v>0</v>
      </c>
      <c r="K357" s="2"/>
    </row>
    <row r="358" spans="1:11" x14ac:dyDescent="0.25">
      <c r="A358" s="8">
        <v>347</v>
      </c>
      <c r="B358" s="9">
        <v>55093</v>
      </c>
      <c r="C358" s="5">
        <f t="shared" si="41"/>
        <v>0</v>
      </c>
      <c r="D358" s="12">
        <f t="shared" si="35"/>
        <v>0</v>
      </c>
      <c r="E358" s="3">
        <f t="shared" si="36"/>
        <v>0</v>
      </c>
      <c r="F358" s="3">
        <f t="shared" si="37"/>
        <v>0</v>
      </c>
      <c r="G358" s="5">
        <f t="shared" si="38"/>
        <v>0</v>
      </c>
      <c r="H358" s="5">
        <v>0</v>
      </c>
      <c r="I358" s="5">
        <f t="shared" si="39"/>
        <v>0</v>
      </c>
      <c r="J358" s="5">
        <f t="shared" si="40"/>
        <v>0</v>
      </c>
      <c r="K358" s="2"/>
    </row>
    <row r="359" spans="1:11" x14ac:dyDescent="0.25">
      <c r="A359" s="8">
        <v>348</v>
      </c>
      <c r="B359" s="9">
        <v>55123</v>
      </c>
      <c r="C359" s="5">
        <f t="shared" si="41"/>
        <v>0</v>
      </c>
      <c r="D359" s="12">
        <f t="shared" si="35"/>
        <v>0</v>
      </c>
      <c r="E359" s="3">
        <f t="shared" si="36"/>
        <v>0</v>
      </c>
      <c r="F359" s="3">
        <f t="shared" si="37"/>
        <v>0</v>
      </c>
      <c r="G359" s="5">
        <f t="shared" si="38"/>
        <v>0</v>
      </c>
      <c r="H359" s="5">
        <v>0</v>
      </c>
      <c r="I359" s="5">
        <f t="shared" si="39"/>
        <v>0</v>
      </c>
      <c r="J359" s="5">
        <f t="shared" si="40"/>
        <v>0</v>
      </c>
      <c r="K359" s="2"/>
    </row>
    <row r="360" spans="1:11" x14ac:dyDescent="0.25">
      <c r="A360" s="8">
        <v>349</v>
      </c>
      <c r="B360" s="9">
        <v>55154</v>
      </c>
      <c r="C360" s="5">
        <f t="shared" si="41"/>
        <v>0</v>
      </c>
      <c r="D360" s="12">
        <f t="shared" si="35"/>
        <v>0</v>
      </c>
      <c r="E360" s="3">
        <f t="shared" si="36"/>
        <v>0</v>
      </c>
      <c r="F360" s="3">
        <f t="shared" si="37"/>
        <v>0</v>
      </c>
      <c r="G360" s="5">
        <f t="shared" si="38"/>
        <v>0</v>
      </c>
      <c r="H360" s="5">
        <v>0</v>
      </c>
      <c r="I360" s="5">
        <f t="shared" si="39"/>
        <v>0</v>
      </c>
      <c r="J360" s="5">
        <f t="shared" si="40"/>
        <v>0</v>
      </c>
      <c r="K360" s="2"/>
    </row>
    <row r="361" spans="1:11" x14ac:dyDescent="0.25">
      <c r="A361" s="8">
        <v>350</v>
      </c>
      <c r="B361" s="9">
        <v>55185</v>
      </c>
      <c r="C361" s="5">
        <f t="shared" si="41"/>
        <v>0</v>
      </c>
      <c r="D361" s="12">
        <f t="shared" si="35"/>
        <v>0</v>
      </c>
      <c r="E361" s="3">
        <f t="shared" si="36"/>
        <v>0</v>
      </c>
      <c r="F361" s="3">
        <f t="shared" si="37"/>
        <v>0</v>
      </c>
      <c r="G361" s="5">
        <f t="shared" si="38"/>
        <v>0</v>
      </c>
      <c r="H361" s="5">
        <v>0</v>
      </c>
      <c r="I361" s="5">
        <f t="shared" si="39"/>
        <v>0</v>
      </c>
      <c r="J361" s="5">
        <f t="shared" si="40"/>
        <v>0</v>
      </c>
      <c r="K361" s="2"/>
    </row>
    <row r="362" spans="1:11" x14ac:dyDescent="0.25">
      <c r="A362" s="8">
        <v>351</v>
      </c>
      <c r="B362" s="9">
        <v>55213</v>
      </c>
      <c r="C362" s="5">
        <f t="shared" si="41"/>
        <v>0</v>
      </c>
      <c r="D362" s="12">
        <f t="shared" si="35"/>
        <v>0</v>
      </c>
      <c r="E362" s="3">
        <f t="shared" si="36"/>
        <v>0</v>
      </c>
      <c r="F362" s="3">
        <f t="shared" si="37"/>
        <v>0</v>
      </c>
      <c r="G362" s="5">
        <f t="shared" si="38"/>
        <v>0</v>
      </c>
      <c r="H362" s="5">
        <v>0</v>
      </c>
      <c r="I362" s="5">
        <f t="shared" si="39"/>
        <v>0</v>
      </c>
      <c r="J362" s="5">
        <f t="shared" si="40"/>
        <v>0</v>
      </c>
      <c r="K362" s="2"/>
    </row>
    <row r="363" spans="1:11" x14ac:dyDescent="0.25">
      <c r="A363" s="8">
        <v>352</v>
      </c>
      <c r="B363" s="9">
        <v>55244</v>
      </c>
      <c r="C363" s="5">
        <f t="shared" si="41"/>
        <v>0</v>
      </c>
      <c r="D363" s="12">
        <f t="shared" si="35"/>
        <v>0</v>
      </c>
      <c r="E363" s="3">
        <f t="shared" si="36"/>
        <v>0</v>
      </c>
      <c r="F363" s="3">
        <f t="shared" si="37"/>
        <v>0</v>
      </c>
      <c r="G363" s="5">
        <f t="shared" si="38"/>
        <v>0</v>
      </c>
      <c r="H363" s="5">
        <v>0</v>
      </c>
      <c r="I363" s="5">
        <f t="shared" si="39"/>
        <v>0</v>
      </c>
      <c r="J363" s="5">
        <f t="shared" si="40"/>
        <v>0</v>
      </c>
      <c r="K363" s="2"/>
    </row>
    <row r="364" spans="1:11" x14ac:dyDescent="0.25">
      <c r="A364" s="8">
        <v>353</v>
      </c>
      <c r="B364" s="9">
        <v>55274</v>
      </c>
      <c r="C364" s="5">
        <f t="shared" si="41"/>
        <v>0</v>
      </c>
      <c r="D364" s="12">
        <f t="shared" si="35"/>
        <v>0</v>
      </c>
      <c r="E364" s="3">
        <f t="shared" si="36"/>
        <v>0</v>
      </c>
      <c r="F364" s="3">
        <f t="shared" si="37"/>
        <v>0</v>
      </c>
      <c r="G364" s="5">
        <f t="shared" si="38"/>
        <v>0</v>
      </c>
      <c r="H364" s="5">
        <v>0</v>
      </c>
      <c r="I364" s="5">
        <f t="shared" si="39"/>
        <v>0</v>
      </c>
      <c r="J364" s="5">
        <f t="shared" si="40"/>
        <v>0</v>
      </c>
      <c r="K364" s="2"/>
    </row>
    <row r="365" spans="1:11" x14ac:dyDescent="0.25">
      <c r="A365" s="8">
        <v>354</v>
      </c>
      <c r="B365" s="9">
        <v>55305</v>
      </c>
      <c r="C365" s="5">
        <f t="shared" si="41"/>
        <v>0</v>
      </c>
      <c r="D365" s="12">
        <f t="shared" si="35"/>
        <v>0</v>
      </c>
      <c r="E365" s="3">
        <f t="shared" si="36"/>
        <v>0</v>
      </c>
      <c r="F365" s="3">
        <f t="shared" si="37"/>
        <v>0</v>
      </c>
      <c r="G365" s="5">
        <f t="shared" si="38"/>
        <v>0</v>
      </c>
      <c r="H365" s="5">
        <v>0</v>
      </c>
      <c r="I365" s="5">
        <f t="shared" si="39"/>
        <v>0</v>
      </c>
      <c r="J365" s="5">
        <f t="shared" si="40"/>
        <v>0</v>
      </c>
      <c r="K365" s="2"/>
    </row>
    <row r="366" spans="1:11" x14ac:dyDescent="0.25">
      <c r="A366" s="8">
        <v>355</v>
      </c>
      <c r="B366" s="9">
        <v>55335</v>
      </c>
      <c r="C366" s="5">
        <f t="shared" si="41"/>
        <v>0</v>
      </c>
      <c r="D366" s="12">
        <f t="shared" si="35"/>
        <v>0</v>
      </c>
      <c r="E366" s="3">
        <f t="shared" si="36"/>
        <v>0</v>
      </c>
      <c r="F366" s="3">
        <f t="shared" si="37"/>
        <v>0</v>
      </c>
      <c r="G366" s="5">
        <f t="shared" si="38"/>
        <v>0</v>
      </c>
      <c r="H366" s="5">
        <v>0</v>
      </c>
      <c r="I366" s="5">
        <f t="shared" si="39"/>
        <v>0</v>
      </c>
      <c r="J366" s="5">
        <f t="shared" si="40"/>
        <v>0</v>
      </c>
      <c r="K366" s="2"/>
    </row>
    <row r="367" spans="1:11" x14ac:dyDescent="0.25">
      <c r="A367" s="8">
        <v>356</v>
      </c>
      <c r="B367" s="9">
        <v>55366</v>
      </c>
      <c r="C367" s="5">
        <f t="shared" si="41"/>
        <v>0</v>
      </c>
      <c r="D367" s="12">
        <f t="shared" si="35"/>
        <v>0</v>
      </c>
      <c r="E367" s="3">
        <f t="shared" si="36"/>
        <v>0</v>
      </c>
      <c r="F367" s="3">
        <f t="shared" si="37"/>
        <v>0</v>
      </c>
      <c r="G367" s="5">
        <f t="shared" si="38"/>
        <v>0</v>
      </c>
      <c r="H367" s="5">
        <v>0</v>
      </c>
      <c r="I367" s="5">
        <f t="shared" si="39"/>
        <v>0</v>
      </c>
      <c r="J367" s="5">
        <f t="shared" si="40"/>
        <v>0</v>
      </c>
      <c r="K367" s="2"/>
    </row>
    <row r="368" spans="1:11" x14ac:dyDescent="0.25">
      <c r="A368" s="8">
        <v>357</v>
      </c>
      <c r="B368" s="9">
        <v>55397</v>
      </c>
      <c r="C368" s="5">
        <f t="shared" si="41"/>
        <v>0</v>
      </c>
      <c r="D368" s="12">
        <f t="shared" si="35"/>
        <v>0</v>
      </c>
      <c r="E368" s="3">
        <f t="shared" si="36"/>
        <v>0</v>
      </c>
      <c r="F368" s="3">
        <f t="shared" si="37"/>
        <v>0</v>
      </c>
      <c r="G368" s="5">
        <f t="shared" si="38"/>
        <v>0</v>
      </c>
      <c r="H368" s="5">
        <v>0</v>
      </c>
      <c r="I368" s="5">
        <f t="shared" si="39"/>
        <v>0</v>
      </c>
      <c r="J368" s="5">
        <f t="shared" si="40"/>
        <v>0</v>
      </c>
      <c r="K368" s="2"/>
    </row>
    <row r="369" spans="1:11" x14ac:dyDescent="0.25">
      <c r="A369" s="8">
        <v>358</v>
      </c>
      <c r="B369" s="9">
        <v>55427</v>
      </c>
      <c r="C369" s="5">
        <f t="shared" si="41"/>
        <v>0</v>
      </c>
      <c r="D369" s="12">
        <f t="shared" si="35"/>
        <v>0</v>
      </c>
      <c r="E369" s="3">
        <f t="shared" si="36"/>
        <v>0</v>
      </c>
      <c r="F369" s="3">
        <f t="shared" si="37"/>
        <v>0</v>
      </c>
      <c r="G369" s="5">
        <f t="shared" si="38"/>
        <v>0</v>
      </c>
      <c r="H369" s="5">
        <v>0</v>
      </c>
      <c r="I369" s="5">
        <f t="shared" si="39"/>
        <v>0</v>
      </c>
      <c r="J369" s="5">
        <f t="shared" si="40"/>
        <v>0</v>
      </c>
      <c r="K369" s="2"/>
    </row>
    <row r="370" spans="1:11" x14ac:dyDescent="0.25">
      <c r="A370" s="8">
        <v>359</v>
      </c>
      <c r="B370" s="9">
        <v>55458</v>
      </c>
      <c r="C370" s="5">
        <f t="shared" si="41"/>
        <v>0</v>
      </c>
      <c r="D370" s="12">
        <f t="shared" si="35"/>
        <v>0</v>
      </c>
      <c r="E370" s="3">
        <f t="shared" si="36"/>
        <v>0</v>
      </c>
      <c r="F370" s="3">
        <f t="shared" si="37"/>
        <v>0</v>
      </c>
      <c r="G370" s="5">
        <f t="shared" si="38"/>
        <v>0</v>
      </c>
      <c r="H370" s="5">
        <v>0</v>
      </c>
      <c r="I370" s="5">
        <f t="shared" si="39"/>
        <v>0</v>
      </c>
      <c r="J370" s="5">
        <f t="shared" si="40"/>
        <v>0</v>
      </c>
      <c r="K370" s="2"/>
    </row>
    <row r="371" spans="1:11" x14ac:dyDescent="0.25">
      <c r="A371" s="8">
        <v>360</v>
      </c>
      <c r="B371" s="9">
        <v>55488</v>
      </c>
      <c r="C371" s="5">
        <f t="shared" si="41"/>
        <v>0</v>
      </c>
      <c r="D371" s="12">
        <f t="shared" si="35"/>
        <v>0</v>
      </c>
      <c r="E371" s="3">
        <f t="shared" si="36"/>
        <v>0</v>
      </c>
      <c r="F371" s="3">
        <f t="shared" si="37"/>
        <v>0</v>
      </c>
      <c r="G371" s="5">
        <f t="shared" si="38"/>
        <v>0</v>
      </c>
      <c r="H371" s="5">
        <v>0</v>
      </c>
      <c r="I371" s="5">
        <f t="shared" si="39"/>
        <v>0</v>
      </c>
      <c r="J371" s="5">
        <f t="shared" si="40"/>
        <v>0</v>
      </c>
      <c r="K371" s="2"/>
    </row>
    <row r="372" spans="1:11" x14ac:dyDescent="0.25">
      <c r="A372" s="8">
        <v>361</v>
      </c>
      <c r="B372" s="9">
        <v>55519</v>
      </c>
      <c r="C372" s="5">
        <f t="shared" si="41"/>
        <v>0</v>
      </c>
      <c r="D372" s="12">
        <f t="shared" si="35"/>
        <v>0</v>
      </c>
      <c r="E372" s="3">
        <f t="shared" si="36"/>
        <v>0</v>
      </c>
      <c r="F372" s="3">
        <f t="shared" si="37"/>
        <v>0</v>
      </c>
      <c r="G372" s="5">
        <f t="shared" si="38"/>
        <v>0</v>
      </c>
      <c r="H372" s="5">
        <v>0</v>
      </c>
      <c r="I372" s="5">
        <f t="shared" si="39"/>
        <v>0</v>
      </c>
      <c r="J372" s="5">
        <f t="shared" si="40"/>
        <v>0</v>
      </c>
      <c r="K372" s="2"/>
    </row>
    <row r="373" spans="1:11" x14ac:dyDescent="0.25">
      <c r="A373" s="8">
        <v>362</v>
      </c>
      <c r="B373" s="9">
        <v>55550</v>
      </c>
      <c r="C373" s="5">
        <f t="shared" si="41"/>
        <v>0</v>
      </c>
      <c r="D373" s="12">
        <f t="shared" si="35"/>
        <v>0</v>
      </c>
      <c r="E373" s="3">
        <f t="shared" si="36"/>
        <v>0</v>
      </c>
      <c r="F373" s="3">
        <f t="shared" si="37"/>
        <v>0</v>
      </c>
      <c r="G373" s="5">
        <f t="shared" si="38"/>
        <v>0</v>
      </c>
      <c r="H373" s="5">
        <v>0</v>
      </c>
      <c r="I373" s="5">
        <f t="shared" si="39"/>
        <v>0</v>
      </c>
      <c r="J373" s="5">
        <f t="shared" si="40"/>
        <v>0</v>
      </c>
      <c r="K373" s="2"/>
    </row>
    <row r="374" spans="1:11" x14ac:dyDescent="0.25">
      <c r="A374" s="8">
        <v>363</v>
      </c>
      <c r="B374" s="9">
        <v>55579</v>
      </c>
      <c r="C374" s="5">
        <f t="shared" si="41"/>
        <v>0</v>
      </c>
      <c r="D374" s="12">
        <f t="shared" si="35"/>
        <v>0</v>
      </c>
      <c r="E374" s="3">
        <f t="shared" si="36"/>
        <v>0</v>
      </c>
      <c r="F374" s="3">
        <f t="shared" si="37"/>
        <v>0</v>
      </c>
      <c r="G374" s="5">
        <f t="shared" si="38"/>
        <v>0</v>
      </c>
      <c r="H374" s="5">
        <v>0</v>
      </c>
      <c r="I374" s="5">
        <f t="shared" si="39"/>
        <v>0</v>
      </c>
      <c r="J374" s="5">
        <f t="shared" si="40"/>
        <v>0</v>
      </c>
      <c r="K374" s="2"/>
    </row>
    <row r="375" spans="1:11" x14ac:dyDescent="0.25">
      <c r="A375" s="8">
        <v>364</v>
      </c>
      <c r="B375" s="9">
        <v>55610</v>
      </c>
      <c r="C375" s="5">
        <f t="shared" si="41"/>
        <v>0</v>
      </c>
      <c r="D375" s="12">
        <f t="shared" si="35"/>
        <v>0</v>
      </c>
      <c r="E375" s="3">
        <f t="shared" si="36"/>
        <v>0</v>
      </c>
      <c r="F375" s="3">
        <f t="shared" si="37"/>
        <v>0</v>
      </c>
      <c r="G375" s="5">
        <f t="shared" si="38"/>
        <v>0</v>
      </c>
      <c r="H375" s="5">
        <v>0</v>
      </c>
      <c r="I375" s="5">
        <f t="shared" si="39"/>
        <v>0</v>
      </c>
      <c r="J375" s="5">
        <f t="shared" si="40"/>
        <v>0</v>
      </c>
      <c r="K375" s="2"/>
    </row>
    <row r="376" spans="1:11" x14ac:dyDescent="0.25">
      <c r="A376" s="8">
        <v>365</v>
      </c>
      <c r="B376" s="9">
        <v>55640</v>
      </c>
      <c r="C376" s="5">
        <f t="shared" si="41"/>
        <v>0</v>
      </c>
      <c r="D376" s="12">
        <f t="shared" si="35"/>
        <v>0</v>
      </c>
      <c r="E376" s="3">
        <f t="shared" si="36"/>
        <v>0</v>
      </c>
      <c r="F376" s="3">
        <f t="shared" si="37"/>
        <v>0</v>
      </c>
      <c r="G376" s="5">
        <f t="shared" si="38"/>
        <v>0</v>
      </c>
      <c r="H376" s="5">
        <v>0</v>
      </c>
      <c r="I376" s="5">
        <f t="shared" si="39"/>
        <v>0</v>
      </c>
      <c r="J376" s="5">
        <f t="shared" si="40"/>
        <v>0</v>
      </c>
      <c r="K376" s="2"/>
    </row>
    <row r="377" spans="1:11" x14ac:dyDescent="0.25">
      <c r="A377" s="8">
        <v>366</v>
      </c>
      <c r="B377" s="9">
        <v>55671</v>
      </c>
      <c r="C377" s="5">
        <f t="shared" si="41"/>
        <v>0</v>
      </c>
      <c r="D377" s="12">
        <f t="shared" si="35"/>
        <v>0</v>
      </c>
      <c r="E377" s="3">
        <f t="shared" si="36"/>
        <v>0</v>
      </c>
      <c r="F377" s="3">
        <f t="shared" si="37"/>
        <v>0</v>
      </c>
      <c r="G377" s="5">
        <f t="shared" si="38"/>
        <v>0</v>
      </c>
      <c r="H377" s="5">
        <v>0</v>
      </c>
      <c r="I377" s="5">
        <f t="shared" si="39"/>
        <v>0</v>
      </c>
      <c r="J377" s="5">
        <f t="shared" si="40"/>
        <v>0</v>
      </c>
      <c r="K377" s="2"/>
    </row>
    <row r="378" spans="1:11" x14ac:dyDescent="0.25">
      <c r="A378" s="8">
        <v>367</v>
      </c>
      <c r="B378" s="9">
        <v>55701</v>
      </c>
      <c r="C378" s="5">
        <f t="shared" si="41"/>
        <v>0</v>
      </c>
      <c r="D378" s="12">
        <f t="shared" si="35"/>
        <v>0</v>
      </c>
      <c r="E378" s="3">
        <f t="shared" si="36"/>
        <v>0</v>
      </c>
      <c r="F378" s="3">
        <f t="shared" si="37"/>
        <v>0</v>
      </c>
      <c r="G378" s="5">
        <f t="shared" si="38"/>
        <v>0</v>
      </c>
      <c r="H378" s="5">
        <v>0</v>
      </c>
      <c r="I378" s="5">
        <f t="shared" si="39"/>
        <v>0</v>
      </c>
      <c r="J378" s="5">
        <f t="shared" si="40"/>
        <v>0</v>
      </c>
      <c r="K378" s="2"/>
    </row>
    <row r="379" spans="1:11" x14ac:dyDescent="0.25">
      <c r="A379" s="8">
        <v>368</v>
      </c>
      <c r="B379" s="9">
        <v>55732</v>
      </c>
      <c r="C379" s="5">
        <f t="shared" si="41"/>
        <v>0</v>
      </c>
      <c r="D379" s="12">
        <f t="shared" si="35"/>
        <v>0</v>
      </c>
      <c r="E379" s="3">
        <f t="shared" si="36"/>
        <v>0</v>
      </c>
      <c r="F379" s="3">
        <f t="shared" si="37"/>
        <v>0</v>
      </c>
      <c r="G379" s="5">
        <f t="shared" si="38"/>
        <v>0</v>
      </c>
      <c r="H379" s="5">
        <v>0</v>
      </c>
      <c r="I379" s="5">
        <f t="shared" si="39"/>
        <v>0</v>
      </c>
      <c r="J379" s="5">
        <f t="shared" si="40"/>
        <v>0</v>
      </c>
      <c r="K379" s="2"/>
    </row>
    <row r="380" spans="1:11" x14ac:dyDescent="0.25">
      <c r="A380" s="8">
        <v>369</v>
      </c>
      <c r="B380" s="9">
        <v>55763</v>
      </c>
      <c r="C380" s="5">
        <f t="shared" si="41"/>
        <v>0</v>
      </c>
      <c r="D380" s="12">
        <f t="shared" si="35"/>
        <v>0</v>
      </c>
      <c r="E380" s="3">
        <f t="shared" si="36"/>
        <v>0</v>
      </c>
      <c r="F380" s="3">
        <f t="shared" si="37"/>
        <v>0</v>
      </c>
      <c r="G380" s="5">
        <f t="shared" si="38"/>
        <v>0</v>
      </c>
      <c r="H380" s="5">
        <v>0</v>
      </c>
      <c r="I380" s="5">
        <f t="shared" si="39"/>
        <v>0</v>
      </c>
      <c r="J380" s="5">
        <f t="shared" si="40"/>
        <v>0</v>
      </c>
      <c r="K380" s="2"/>
    </row>
    <row r="381" spans="1:11" x14ac:dyDescent="0.25">
      <c r="A381" s="8">
        <v>370</v>
      </c>
      <c r="B381" s="9">
        <v>55793</v>
      </c>
      <c r="C381" s="5">
        <f t="shared" si="41"/>
        <v>0</v>
      </c>
      <c r="D381" s="12">
        <f t="shared" si="35"/>
        <v>0</v>
      </c>
      <c r="E381" s="3">
        <f t="shared" si="36"/>
        <v>0</v>
      </c>
      <c r="F381" s="3">
        <f t="shared" si="37"/>
        <v>0</v>
      </c>
      <c r="G381" s="5">
        <f t="shared" si="38"/>
        <v>0</v>
      </c>
      <c r="H381" s="5">
        <v>0</v>
      </c>
      <c r="I381" s="5">
        <f t="shared" si="39"/>
        <v>0</v>
      </c>
      <c r="J381" s="5">
        <f t="shared" si="40"/>
        <v>0</v>
      </c>
      <c r="K381" s="2"/>
    </row>
    <row r="382" spans="1:11" x14ac:dyDescent="0.25">
      <c r="A382" s="8">
        <v>371</v>
      </c>
      <c r="B382" s="9">
        <v>55824</v>
      </c>
      <c r="C382" s="5">
        <f t="shared" si="41"/>
        <v>0</v>
      </c>
      <c r="D382" s="12">
        <f t="shared" si="35"/>
        <v>0</v>
      </c>
      <c r="E382" s="3">
        <f t="shared" si="36"/>
        <v>0</v>
      </c>
      <c r="F382" s="3">
        <f t="shared" si="37"/>
        <v>0</v>
      </c>
      <c r="G382" s="5">
        <f t="shared" si="38"/>
        <v>0</v>
      </c>
      <c r="H382" s="5">
        <v>0</v>
      </c>
      <c r="I382" s="5">
        <f t="shared" si="39"/>
        <v>0</v>
      </c>
      <c r="J382" s="5">
        <f t="shared" si="40"/>
        <v>0</v>
      </c>
      <c r="K382" s="2"/>
    </row>
    <row r="383" spans="1:11" x14ac:dyDescent="0.25">
      <c r="A383" s="8">
        <v>372</v>
      </c>
      <c r="B383" s="9">
        <v>55854</v>
      </c>
      <c r="C383" s="5">
        <f t="shared" si="41"/>
        <v>0</v>
      </c>
      <c r="D383" s="12">
        <f t="shared" si="35"/>
        <v>0</v>
      </c>
      <c r="E383" s="3">
        <f t="shared" si="36"/>
        <v>0</v>
      </c>
      <c r="F383" s="3">
        <f t="shared" si="37"/>
        <v>0</v>
      </c>
      <c r="G383" s="5">
        <f t="shared" si="38"/>
        <v>0</v>
      </c>
      <c r="H383" s="5">
        <v>0</v>
      </c>
      <c r="I383" s="5">
        <f t="shared" si="39"/>
        <v>0</v>
      </c>
      <c r="J383" s="5">
        <f t="shared" si="40"/>
        <v>0</v>
      </c>
      <c r="K383" s="2"/>
    </row>
    <row r="384" spans="1:11" x14ac:dyDescent="0.25">
      <c r="A384" s="8">
        <v>373</v>
      </c>
      <c r="B384" s="9">
        <v>55885</v>
      </c>
      <c r="C384" s="5">
        <f t="shared" si="41"/>
        <v>0</v>
      </c>
      <c r="D384" s="12">
        <f t="shared" si="35"/>
        <v>0</v>
      </c>
      <c r="E384" s="3">
        <f t="shared" si="36"/>
        <v>0</v>
      </c>
      <c r="F384" s="3">
        <f t="shared" si="37"/>
        <v>0</v>
      </c>
      <c r="G384" s="5">
        <f t="shared" si="38"/>
        <v>0</v>
      </c>
      <c r="H384" s="5">
        <v>0</v>
      </c>
      <c r="I384" s="5">
        <f t="shared" si="39"/>
        <v>0</v>
      </c>
      <c r="J384" s="5">
        <f t="shared" si="40"/>
        <v>0</v>
      </c>
      <c r="K384" s="2"/>
    </row>
    <row r="385" spans="1:11" x14ac:dyDescent="0.25">
      <c r="A385" s="8">
        <v>374</v>
      </c>
      <c r="B385" s="9">
        <v>55916</v>
      </c>
      <c r="C385" s="5">
        <f t="shared" si="41"/>
        <v>0</v>
      </c>
      <c r="D385" s="12">
        <f t="shared" si="35"/>
        <v>0</v>
      </c>
      <c r="E385" s="3">
        <f t="shared" si="36"/>
        <v>0</v>
      </c>
      <c r="F385" s="3">
        <f t="shared" si="37"/>
        <v>0</v>
      </c>
      <c r="G385" s="5">
        <f t="shared" si="38"/>
        <v>0</v>
      </c>
      <c r="H385" s="5">
        <v>0</v>
      </c>
      <c r="I385" s="5">
        <f t="shared" si="39"/>
        <v>0</v>
      </c>
      <c r="J385" s="5">
        <f t="shared" si="40"/>
        <v>0</v>
      </c>
      <c r="K385" s="2"/>
    </row>
    <row r="386" spans="1:11" x14ac:dyDescent="0.25">
      <c r="A386" s="8">
        <v>375</v>
      </c>
      <c r="B386" s="9">
        <v>55944</v>
      </c>
      <c r="C386" s="5">
        <f t="shared" si="41"/>
        <v>0</v>
      </c>
      <c r="D386" s="12">
        <f t="shared" si="35"/>
        <v>0</v>
      </c>
      <c r="E386" s="3">
        <f t="shared" si="36"/>
        <v>0</v>
      </c>
      <c r="F386" s="3">
        <f t="shared" si="37"/>
        <v>0</v>
      </c>
      <c r="G386" s="5">
        <f t="shared" si="38"/>
        <v>0</v>
      </c>
      <c r="H386" s="5">
        <v>0</v>
      </c>
      <c r="I386" s="5">
        <f t="shared" si="39"/>
        <v>0</v>
      </c>
      <c r="J386" s="5">
        <f t="shared" si="40"/>
        <v>0</v>
      </c>
      <c r="K386" s="2"/>
    </row>
    <row r="387" spans="1:11" x14ac:dyDescent="0.25">
      <c r="A387" s="8">
        <v>376</v>
      </c>
      <c r="B387" s="9">
        <v>55975</v>
      </c>
      <c r="C387" s="5">
        <f t="shared" si="41"/>
        <v>0</v>
      </c>
      <c r="D387" s="12">
        <f t="shared" si="35"/>
        <v>0</v>
      </c>
      <c r="E387" s="3">
        <f t="shared" si="36"/>
        <v>0</v>
      </c>
      <c r="F387" s="3">
        <f t="shared" si="37"/>
        <v>0</v>
      </c>
      <c r="G387" s="5">
        <f t="shared" si="38"/>
        <v>0</v>
      </c>
      <c r="H387" s="5">
        <v>0</v>
      </c>
      <c r="I387" s="5">
        <f t="shared" si="39"/>
        <v>0</v>
      </c>
      <c r="J387" s="5">
        <f t="shared" si="40"/>
        <v>0</v>
      </c>
      <c r="K387" s="2"/>
    </row>
    <row r="388" spans="1:11" x14ac:dyDescent="0.25">
      <c r="A388" s="8">
        <v>377</v>
      </c>
      <c r="B388" s="9">
        <v>56005</v>
      </c>
      <c r="C388" s="5">
        <f t="shared" si="41"/>
        <v>0</v>
      </c>
      <c r="D388" s="12">
        <f t="shared" si="35"/>
        <v>0</v>
      </c>
      <c r="E388" s="3">
        <f t="shared" si="36"/>
        <v>0</v>
      </c>
      <c r="F388" s="3">
        <f t="shared" si="37"/>
        <v>0</v>
      </c>
      <c r="G388" s="5">
        <f t="shared" si="38"/>
        <v>0</v>
      </c>
      <c r="H388" s="5">
        <v>0</v>
      </c>
      <c r="I388" s="5">
        <f t="shared" si="39"/>
        <v>0</v>
      </c>
      <c r="J388" s="5">
        <f t="shared" si="40"/>
        <v>0</v>
      </c>
      <c r="K388" s="2"/>
    </row>
    <row r="389" spans="1:11" x14ac:dyDescent="0.25">
      <c r="A389" s="8">
        <v>378</v>
      </c>
      <c r="B389" s="9">
        <v>56036</v>
      </c>
      <c r="C389" s="5">
        <f t="shared" si="41"/>
        <v>0</v>
      </c>
      <c r="D389" s="12">
        <f t="shared" si="35"/>
        <v>0</v>
      </c>
      <c r="E389" s="3">
        <f t="shared" si="36"/>
        <v>0</v>
      </c>
      <c r="F389" s="3">
        <f t="shared" si="37"/>
        <v>0</v>
      </c>
      <c r="G389" s="5">
        <f t="shared" si="38"/>
        <v>0</v>
      </c>
      <c r="H389" s="5">
        <v>0</v>
      </c>
      <c r="I389" s="5">
        <f t="shared" si="39"/>
        <v>0</v>
      </c>
      <c r="J389" s="5">
        <f t="shared" si="40"/>
        <v>0</v>
      </c>
      <c r="K389" s="2"/>
    </row>
    <row r="390" spans="1:11" x14ac:dyDescent="0.25">
      <c r="A390" s="8">
        <v>379</v>
      </c>
      <c r="B390" s="9">
        <v>56066</v>
      </c>
      <c r="C390" s="5">
        <f t="shared" si="41"/>
        <v>0</v>
      </c>
      <c r="D390" s="12">
        <f t="shared" si="35"/>
        <v>0</v>
      </c>
      <c r="E390" s="3">
        <f t="shared" si="36"/>
        <v>0</v>
      </c>
      <c r="F390" s="3">
        <f t="shared" si="37"/>
        <v>0</v>
      </c>
      <c r="G390" s="5">
        <f t="shared" si="38"/>
        <v>0</v>
      </c>
      <c r="H390" s="5">
        <v>0</v>
      </c>
      <c r="I390" s="5">
        <f t="shared" si="39"/>
        <v>0</v>
      </c>
      <c r="J390" s="5">
        <f t="shared" si="40"/>
        <v>0</v>
      </c>
      <c r="K390" s="2"/>
    </row>
    <row r="391" spans="1:11" x14ac:dyDescent="0.25">
      <c r="A391" s="8">
        <v>380</v>
      </c>
      <c r="B391" s="9">
        <v>56097</v>
      </c>
      <c r="C391" s="5">
        <f t="shared" si="41"/>
        <v>0</v>
      </c>
      <c r="D391" s="12">
        <f t="shared" si="35"/>
        <v>0</v>
      </c>
      <c r="E391" s="3">
        <f t="shared" si="36"/>
        <v>0</v>
      </c>
      <c r="F391" s="3">
        <f t="shared" si="37"/>
        <v>0</v>
      </c>
      <c r="G391" s="5">
        <f t="shared" si="38"/>
        <v>0</v>
      </c>
      <c r="H391" s="5">
        <v>0</v>
      </c>
      <c r="I391" s="5">
        <f t="shared" si="39"/>
        <v>0</v>
      </c>
      <c r="J391" s="5">
        <f t="shared" si="40"/>
        <v>0</v>
      </c>
      <c r="K391" s="2"/>
    </row>
    <row r="392" spans="1:11" x14ac:dyDescent="0.25">
      <c r="A392" s="8">
        <v>381</v>
      </c>
      <c r="B392" s="9">
        <v>56128</v>
      </c>
      <c r="C392" s="5">
        <f t="shared" si="41"/>
        <v>0</v>
      </c>
      <c r="D392" s="12">
        <f t="shared" si="35"/>
        <v>0</v>
      </c>
      <c r="E392" s="3">
        <f t="shared" si="36"/>
        <v>0</v>
      </c>
      <c r="F392" s="3">
        <f t="shared" si="37"/>
        <v>0</v>
      </c>
      <c r="G392" s="5">
        <f t="shared" si="38"/>
        <v>0</v>
      </c>
      <c r="H392" s="5">
        <v>0</v>
      </c>
      <c r="I392" s="5">
        <f t="shared" si="39"/>
        <v>0</v>
      </c>
      <c r="J392" s="5">
        <f t="shared" si="40"/>
        <v>0</v>
      </c>
      <c r="K392" s="2"/>
    </row>
    <row r="393" spans="1:11" x14ac:dyDescent="0.25">
      <c r="A393" s="8">
        <v>382</v>
      </c>
      <c r="B393" s="9">
        <v>56158</v>
      </c>
      <c r="C393" s="5">
        <f t="shared" si="41"/>
        <v>0</v>
      </c>
      <c r="D393" s="12">
        <f t="shared" si="35"/>
        <v>0</v>
      </c>
      <c r="E393" s="3">
        <f t="shared" si="36"/>
        <v>0</v>
      </c>
      <c r="F393" s="3">
        <f t="shared" si="37"/>
        <v>0</v>
      </c>
      <c r="G393" s="5">
        <f t="shared" si="38"/>
        <v>0</v>
      </c>
      <c r="H393" s="5">
        <v>0</v>
      </c>
      <c r="I393" s="5">
        <f t="shared" si="39"/>
        <v>0</v>
      </c>
      <c r="J393" s="5">
        <f t="shared" si="40"/>
        <v>0</v>
      </c>
      <c r="K393" s="2"/>
    </row>
    <row r="394" spans="1:11" x14ac:dyDescent="0.25">
      <c r="A394" s="8">
        <v>383</v>
      </c>
      <c r="B394" s="9">
        <v>56189</v>
      </c>
      <c r="C394" s="5">
        <f t="shared" si="41"/>
        <v>0</v>
      </c>
      <c r="D394" s="12">
        <f t="shared" si="35"/>
        <v>0</v>
      </c>
      <c r="E394" s="3">
        <f t="shared" si="36"/>
        <v>0</v>
      </c>
      <c r="F394" s="3">
        <f t="shared" si="37"/>
        <v>0</v>
      </c>
      <c r="G394" s="5">
        <f t="shared" si="38"/>
        <v>0</v>
      </c>
      <c r="H394" s="5">
        <v>0</v>
      </c>
      <c r="I394" s="5">
        <f t="shared" si="39"/>
        <v>0</v>
      </c>
      <c r="J394" s="5">
        <f t="shared" si="40"/>
        <v>0</v>
      </c>
      <c r="K394" s="2"/>
    </row>
    <row r="395" spans="1:11" x14ac:dyDescent="0.25">
      <c r="A395" s="8">
        <v>384</v>
      </c>
      <c r="B395" s="9">
        <v>56219</v>
      </c>
      <c r="C395" s="5">
        <f t="shared" si="41"/>
        <v>0</v>
      </c>
      <c r="D395" s="12">
        <f t="shared" si="35"/>
        <v>0</v>
      </c>
      <c r="E395" s="3">
        <f t="shared" si="36"/>
        <v>0</v>
      </c>
      <c r="F395" s="3">
        <f t="shared" si="37"/>
        <v>0</v>
      </c>
      <c r="G395" s="5">
        <f t="shared" si="38"/>
        <v>0</v>
      </c>
      <c r="H395" s="5">
        <v>0</v>
      </c>
      <c r="I395" s="5">
        <f t="shared" si="39"/>
        <v>0</v>
      </c>
      <c r="J395" s="5">
        <f t="shared" si="40"/>
        <v>0</v>
      </c>
      <c r="K395" s="2"/>
    </row>
    <row r="396" spans="1:11" x14ac:dyDescent="0.25">
      <c r="A396" s="8">
        <v>385</v>
      </c>
      <c r="B396" s="9">
        <v>56250</v>
      </c>
      <c r="C396" s="5">
        <f t="shared" si="41"/>
        <v>0</v>
      </c>
      <c r="D396" s="12">
        <f t="shared" si="35"/>
        <v>0</v>
      </c>
      <c r="E396" s="3">
        <f t="shared" si="36"/>
        <v>0</v>
      </c>
      <c r="F396" s="3">
        <f t="shared" si="37"/>
        <v>0</v>
      </c>
      <c r="G396" s="5">
        <f t="shared" si="38"/>
        <v>0</v>
      </c>
      <c r="H396" s="5">
        <v>0</v>
      </c>
      <c r="I396" s="5">
        <f t="shared" si="39"/>
        <v>0</v>
      </c>
      <c r="J396" s="5">
        <f t="shared" si="40"/>
        <v>0</v>
      </c>
      <c r="K396" s="2"/>
    </row>
    <row r="397" spans="1:11" x14ac:dyDescent="0.25">
      <c r="A397" s="8">
        <v>386</v>
      </c>
      <c r="B397" s="9">
        <v>56281</v>
      </c>
      <c r="C397" s="5">
        <f t="shared" si="41"/>
        <v>0</v>
      </c>
      <c r="D397" s="12">
        <f t="shared" ref="D397:D431" si="42">C397*$C$6</f>
        <v>0</v>
      </c>
      <c r="E397" s="3">
        <f t="shared" ref="E397:E431" si="43">C397+D397</f>
        <v>0</v>
      </c>
      <c r="F397" s="3">
        <f t="shared" ref="F397:F431" si="44">IF(C397&gt;0,$C$4/$C$8,0)</f>
        <v>0</v>
      </c>
      <c r="G397" s="5">
        <f t="shared" ref="G397:G431" si="45">IF(C397&gt;0,F397+D397,0)</f>
        <v>0</v>
      </c>
      <c r="H397" s="5">
        <v>0</v>
      </c>
      <c r="I397" s="5">
        <f t="shared" ref="I397:I431" si="46">IF(C397&gt;0,H397+G397,0)</f>
        <v>0</v>
      </c>
      <c r="J397" s="5">
        <f t="shared" ref="J397:J431" si="47">IF(E397-I397&gt;0,ROUND(E397-I397,2),0)</f>
        <v>0</v>
      </c>
      <c r="K397" s="2"/>
    </row>
    <row r="398" spans="1:11" x14ac:dyDescent="0.25">
      <c r="A398" s="8">
        <v>387</v>
      </c>
      <c r="B398" s="9">
        <v>56309</v>
      </c>
      <c r="C398" s="5">
        <f t="shared" ref="C398:C431" si="48">IF(J397&gt;0,J397,0)</f>
        <v>0</v>
      </c>
      <c r="D398" s="12">
        <f t="shared" si="42"/>
        <v>0</v>
      </c>
      <c r="E398" s="3">
        <f t="shared" si="43"/>
        <v>0</v>
      </c>
      <c r="F398" s="3">
        <f t="shared" si="44"/>
        <v>0</v>
      </c>
      <c r="G398" s="5">
        <f t="shared" si="45"/>
        <v>0</v>
      </c>
      <c r="H398" s="5">
        <v>0</v>
      </c>
      <c r="I398" s="5">
        <f t="shared" si="46"/>
        <v>0</v>
      </c>
      <c r="J398" s="5">
        <f t="shared" si="47"/>
        <v>0</v>
      </c>
      <c r="K398" s="2"/>
    </row>
    <row r="399" spans="1:11" x14ac:dyDescent="0.25">
      <c r="A399" s="8">
        <v>388</v>
      </c>
      <c r="B399" s="9">
        <v>56340</v>
      </c>
      <c r="C399" s="5">
        <f t="shared" si="48"/>
        <v>0</v>
      </c>
      <c r="D399" s="12">
        <f t="shared" si="42"/>
        <v>0</v>
      </c>
      <c r="E399" s="3">
        <f t="shared" si="43"/>
        <v>0</v>
      </c>
      <c r="F399" s="3">
        <f t="shared" si="44"/>
        <v>0</v>
      </c>
      <c r="G399" s="5">
        <f t="shared" si="45"/>
        <v>0</v>
      </c>
      <c r="H399" s="5">
        <v>0</v>
      </c>
      <c r="I399" s="5">
        <f t="shared" si="46"/>
        <v>0</v>
      </c>
      <c r="J399" s="5">
        <f t="shared" si="47"/>
        <v>0</v>
      </c>
      <c r="K399" s="2"/>
    </row>
    <row r="400" spans="1:11" x14ac:dyDescent="0.25">
      <c r="A400" s="8">
        <v>389</v>
      </c>
      <c r="B400" s="9">
        <v>56370</v>
      </c>
      <c r="C400" s="5">
        <f t="shared" si="48"/>
        <v>0</v>
      </c>
      <c r="D400" s="12">
        <f t="shared" si="42"/>
        <v>0</v>
      </c>
      <c r="E400" s="3">
        <f t="shared" si="43"/>
        <v>0</v>
      </c>
      <c r="F400" s="3">
        <f t="shared" si="44"/>
        <v>0</v>
      </c>
      <c r="G400" s="5">
        <f t="shared" si="45"/>
        <v>0</v>
      </c>
      <c r="H400" s="5">
        <v>0</v>
      </c>
      <c r="I400" s="5">
        <f t="shared" si="46"/>
        <v>0</v>
      </c>
      <c r="J400" s="5">
        <f t="shared" si="47"/>
        <v>0</v>
      </c>
      <c r="K400" s="2"/>
    </row>
    <row r="401" spans="1:11" x14ac:dyDescent="0.25">
      <c r="A401" s="8">
        <v>390</v>
      </c>
      <c r="B401" s="9">
        <v>56401</v>
      </c>
      <c r="C401" s="5">
        <f t="shared" si="48"/>
        <v>0</v>
      </c>
      <c r="D401" s="12">
        <f t="shared" si="42"/>
        <v>0</v>
      </c>
      <c r="E401" s="3">
        <f t="shared" si="43"/>
        <v>0</v>
      </c>
      <c r="F401" s="3">
        <f t="shared" si="44"/>
        <v>0</v>
      </c>
      <c r="G401" s="5">
        <f t="shared" si="45"/>
        <v>0</v>
      </c>
      <c r="H401" s="5">
        <v>0</v>
      </c>
      <c r="I401" s="5">
        <f t="shared" si="46"/>
        <v>0</v>
      </c>
      <c r="J401" s="5">
        <f t="shared" si="47"/>
        <v>0</v>
      </c>
      <c r="K401" s="2"/>
    </row>
    <row r="402" spans="1:11" x14ac:dyDescent="0.25">
      <c r="A402" s="8">
        <v>391</v>
      </c>
      <c r="B402" s="9">
        <v>56431</v>
      </c>
      <c r="C402" s="5">
        <f t="shared" si="48"/>
        <v>0</v>
      </c>
      <c r="D402" s="12">
        <f t="shared" si="42"/>
        <v>0</v>
      </c>
      <c r="E402" s="3">
        <f t="shared" si="43"/>
        <v>0</v>
      </c>
      <c r="F402" s="3">
        <f t="shared" si="44"/>
        <v>0</v>
      </c>
      <c r="G402" s="5">
        <f t="shared" si="45"/>
        <v>0</v>
      </c>
      <c r="H402" s="5">
        <v>0</v>
      </c>
      <c r="I402" s="5">
        <f t="shared" si="46"/>
        <v>0</v>
      </c>
      <c r="J402" s="5">
        <f t="shared" si="47"/>
        <v>0</v>
      </c>
      <c r="K402" s="2"/>
    </row>
    <row r="403" spans="1:11" x14ac:dyDescent="0.25">
      <c r="A403" s="8">
        <v>392</v>
      </c>
      <c r="B403" s="9">
        <v>56462</v>
      </c>
      <c r="C403" s="5">
        <f t="shared" si="48"/>
        <v>0</v>
      </c>
      <c r="D403" s="12">
        <f t="shared" si="42"/>
        <v>0</v>
      </c>
      <c r="E403" s="3">
        <f t="shared" si="43"/>
        <v>0</v>
      </c>
      <c r="F403" s="3">
        <f t="shared" si="44"/>
        <v>0</v>
      </c>
      <c r="G403" s="5">
        <f t="shared" si="45"/>
        <v>0</v>
      </c>
      <c r="H403" s="5">
        <v>0</v>
      </c>
      <c r="I403" s="5">
        <f t="shared" si="46"/>
        <v>0</v>
      </c>
      <c r="J403" s="5">
        <f t="shared" si="47"/>
        <v>0</v>
      </c>
      <c r="K403" s="2"/>
    </row>
    <row r="404" spans="1:11" x14ac:dyDescent="0.25">
      <c r="A404" s="8">
        <v>393</v>
      </c>
      <c r="B404" s="9">
        <v>56493</v>
      </c>
      <c r="C404" s="5">
        <f t="shared" si="48"/>
        <v>0</v>
      </c>
      <c r="D404" s="12">
        <f t="shared" si="42"/>
        <v>0</v>
      </c>
      <c r="E404" s="3">
        <f t="shared" si="43"/>
        <v>0</v>
      </c>
      <c r="F404" s="3">
        <f t="shared" si="44"/>
        <v>0</v>
      </c>
      <c r="G404" s="5">
        <f t="shared" si="45"/>
        <v>0</v>
      </c>
      <c r="H404" s="5">
        <v>0</v>
      </c>
      <c r="I404" s="5">
        <f t="shared" si="46"/>
        <v>0</v>
      </c>
      <c r="J404" s="5">
        <f t="shared" si="47"/>
        <v>0</v>
      </c>
      <c r="K404" s="2"/>
    </row>
    <row r="405" spans="1:11" x14ac:dyDescent="0.25">
      <c r="A405" s="8">
        <v>394</v>
      </c>
      <c r="B405" s="9">
        <v>56523</v>
      </c>
      <c r="C405" s="5">
        <f t="shared" si="48"/>
        <v>0</v>
      </c>
      <c r="D405" s="12">
        <f t="shared" si="42"/>
        <v>0</v>
      </c>
      <c r="E405" s="3">
        <f t="shared" si="43"/>
        <v>0</v>
      </c>
      <c r="F405" s="3">
        <f t="shared" si="44"/>
        <v>0</v>
      </c>
      <c r="G405" s="5">
        <f t="shared" si="45"/>
        <v>0</v>
      </c>
      <c r="H405" s="5">
        <v>0</v>
      </c>
      <c r="I405" s="5">
        <f t="shared" si="46"/>
        <v>0</v>
      </c>
      <c r="J405" s="5">
        <f t="shared" si="47"/>
        <v>0</v>
      </c>
      <c r="K405" s="2"/>
    </row>
    <row r="406" spans="1:11" x14ac:dyDescent="0.25">
      <c r="A406" s="8">
        <v>395</v>
      </c>
      <c r="B406" s="9">
        <v>56554</v>
      </c>
      <c r="C406" s="5">
        <f t="shared" si="48"/>
        <v>0</v>
      </c>
      <c r="D406" s="12">
        <f t="shared" si="42"/>
        <v>0</v>
      </c>
      <c r="E406" s="3">
        <f t="shared" si="43"/>
        <v>0</v>
      </c>
      <c r="F406" s="3">
        <f t="shared" si="44"/>
        <v>0</v>
      </c>
      <c r="G406" s="5">
        <f t="shared" si="45"/>
        <v>0</v>
      </c>
      <c r="H406" s="5">
        <v>0</v>
      </c>
      <c r="I406" s="5">
        <f t="shared" si="46"/>
        <v>0</v>
      </c>
      <c r="J406" s="5">
        <f t="shared" si="47"/>
        <v>0</v>
      </c>
      <c r="K406" s="2"/>
    </row>
    <row r="407" spans="1:11" x14ac:dyDescent="0.25">
      <c r="A407" s="8">
        <v>396</v>
      </c>
      <c r="B407" s="9">
        <v>56584</v>
      </c>
      <c r="C407" s="5">
        <f t="shared" si="48"/>
        <v>0</v>
      </c>
      <c r="D407" s="12">
        <f t="shared" si="42"/>
        <v>0</v>
      </c>
      <c r="E407" s="3">
        <f t="shared" si="43"/>
        <v>0</v>
      </c>
      <c r="F407" s="3">
        <f t="shared" si="44"/>
        <v>0</v>
      </c>
      <c r="G407" s="5">
        <f t="shared" si="45"/>
        <v>0</v>
      </c>
      <c r="H407" s="5">
        <v>0</v>
      </c>
      <c r="I407" s="5">
        <f t="shared" si="46"/>
        <v>0</v>
      </c>
      <c r="J407" s="5">
        <f t="shared" si="47"/>
        <v>0</v>
      </c>
      <c r="K407" s="2"/>
    </row>
    <row r="408" spans="1:11" x14ac:dyDescent="0.25">
      <c r="A408" s="8">
        <v>397</v>
      </c>
      <c r="B408" s="9">
        <v>56615</v>
      </c>
      <c r="C408" s="5">
        <f t="shared" si="48"/>
        <v>0</v>
      </c>
      <c r="D408" s="12">
        <f t="shared" si="42"/>
        <v>0</v>
      </c>
      <c r="E408" s="3">
        <f t="shared" si="43"/>
        <v>0</v>
      </c>
      <c r="F408" s="3">
        <f t="shared" si="44"/>
        <v>0</v>
      </c>
      <c r="G408" s="5">
        <f t="shared" si="45"/>
        <v>0</v>
      </c>
      <c r="H408" s="5">
        <v>0</v>
      </c>
      <c r="I408" s="5">
        <f t="shared" si="46"/>
        <v>0</v>
      </c>
      <c r="J408" s="5">
        <f t="shared" si="47"/>
        <v>0</v>
      </c>
      <c r="K408" s="2"/>
    </row>
    <row r="409" spans="1:11" x14ac:dyDescent="0.25">
      <c r="A409" s="8">
        <v>398</v>
      </c>
      <c r="B409" s="9">
        <v>56646</v>
      </c>
      <c r="C409" s="5">
        <f t="shared" si="48"/>
        <v>0</v>
      </c>
      <c r="D409" s="12">
        <f t="shared" si="42"/>
        <v>0</v>
      </c>
      <c r="E409" s="3">
        <f t="shared" si="43"/>
        <v>0</v>
      </c>
      <c r="F409" s="3">
        <f t="shared" si="44"/>
        <v>0</v>
      </c>
      <c r="G409" s="5">
        <f t="shared" si="45"/>
        <v>0</v>
      </c>
      <c r="H409" s="5">
        <v>0</v>
      </c>
      <c r="I409" s="5">
        <f t="shared" si="46"/>
        <v>0</v>
      </c>
      <c r="J409" s="5">
        <f t="shared" si="47"/>
        <v>0</v>
      </c>
      <c r="K409" s="2"/>
    </row>
    <row r="410" spans="1:11" x14ac:dyDescent="0.25">
      <c r="A410" s="8">
        <v>399</v>
      </c>
      <c r="B410" s="9">
        <v>56674</v>
      </c>
      <c r="C410" s="5">
        <f t="shared" si="48"/>
        <v>0</v>
      </c>
      <c r="D410" s="12">
        <f t="shared" si="42"/>
        <v>0</v>
      </c>
      <c r="E410" s="3">
        <f t="shared" si="43"/>
        <v>0</v>
      </c>
      <c r="F410" s="3">
        <f t="shared" si="44"/>
        <v>0</v>
      </c>
      <c r="G410" s="5">
        <f t="shared" si="45"/>
        <v>0</v>
      </c>
      <c r="H410" s="5">
        <v>0</v>
      </c>
      <c r="I410" s="5">
        <f t="shared" si="46"/>
        <v>0</v>
      </c>
      <c r="J410" s="5">
        <f t="shared" si="47"/>
        <v>0</v>
      </c>
      <c r="K410" s="2"/>
    </row>
    <row r="411" spans="1:11" x14ac:dyDescent="0.25">
      <c r="A411" s="8">
        <v>400</v>
      </c>
      <c r="B411" s="9">
        <v>56705</v>
      </c>
      <c r="C411" s="5">
        <f t="shared" si="48"/>
        <v>0</v>
      </c>
      <c r="D411" s="12">
        <f t="shared" si="42"/>
        <v>0</v>
      </c>
      <c r="E411" s="3">
        <f t="shared" si="43"/>
        <v>0</v>
      </c>
      <c r="F411" s="3">
        <f t="shared" si="44"/>
        <v>0</v>
      </c>
      <c r="G411" s="5">
        <f t="shared" si="45"/>
        <v>0</v>
      </c>
      <c r="H411" s="5">
        <v>0</v>
      </c>
      <c r="I411" s="5">
        <f t="shared" si="46"/>
        <v>0</v>
      </c>
      <c r="J411" s="5">
        <f t="shared" si="47"/>
        <v>0</v>
      </c>
      <c r="K411" s="2"/>
    </row>
    <row r="412" spans="1:11" x14ac:dyDescent="0.25">
      <c r="A412" s="8">
        <v>401</v>
      </c>
      <c r="B412" s="9">
        <v>56735</v>
      </c>
      <c r="C412" s="5">
        <f t="shared" si="48"/>
        <v>0</v>
      </c>
      <c r="D412" s="12">
        <f t="shared" si="42"/>
        <v>0</v>
      </c>
      <c r="E412" s="3">
        <f t="shared" si="43"/>
        <v>0</v>
      </c>
      <c r="F412" s="3">
        <f t="shared" si="44"/>
        <v>0</v>
      </c>
      <c r="G412" s="5">
        <f t="shared" si="45"/>
        <v>0</v>
      </c>
      <c r="H412" s="5">
        <v>0</v>
      </c>
      <c r="I412" s="5">
        <f t="shared" si="46"/>
        <v>0</v>
      </c>
      <c r="J412" s="5">
        <f t="shared" si="47"/>
        <v>0</v>
      </c>
      <c r="K412" s="2"/>
    </row>
    <row r="413" spans="1:11" x14ac:dyDescent="0.25">
      <c r="A413" s="8">
        <v>402</v>
      </c>
      <c r="B413" s="9">
        <v>56766</v>
      </c>
      <c r="C413" s="5">
        <f t="shared" si="48"/>
        <v>0</v>
      </c>
      <c r="D413" s="12">
        <f t="shared" si="42"/>
        <v>0</v>
      </c>
      <c r="E413" s="3">
        <f t="shared" si="43"/>
        <v>0</v>
      </c>
      <c r="F413" s="3">
        <f t="shared" si="44"/>
        <v>0</v>
      </c>
      <c r="G413" s="5">
        <f t="shared" si="45"/>
        <v>0</v>
      </c>
      <c r="H413" s="5">
        <v>0</v>
      </c>
      <c r="I413" s="5">
        <f t="shared" si="46"/>
        <v>0</v>
      </c>
      <c r="J413" s="5">
        <f t="shared" si="47"/>
        <v>0</v>
      </c>
      <c r="K413" s="2"/>
    </row>
    <row r="414" spans="1:11" x14ac:dyDescent="0.25">
      <c r="A414" s="8">
        <v>403</v>
      </c>
      <c r="B414" s="9">
        <v>56796</v>
      </c>
      <c r="C414" s="5">
        <f t="shared" si="48"/>
        <v>0</v>
      </c>
      <c r="D414" s="12">
        <f t="shared" si="42"/>
        <v>0</v>
      </c>
      <c r="E414" s="3">
        <f t="shared" si="43"/>
        <v>0</v>
      </c>
      <c r="F414" s="3">
        <f t="shared" si="44"/>
        <v>0</v>
      </c>
      <c r="G414" s="5">
        <f t="shared" si="45"/>
        <v>0</v>
      </c>
      <c r="H414" s="5">
        <v>0</v>
      </c>
      <c r="I414" s="5">
        <f t="shared" si="46"/>
        <v>0</v>
      </c>
      <c r="J414" s="5">
        <f t="shared" si="47"/>
        <v>0</v>
      </c>
      <c r="K414" s="2"/>
    </row>
    <row r="415" spans="1:11" x14ac:dyDescent="0.25">
      <c r="A415" s="8">
        <v>404</v>
      </c>
      <c r="B415" s="9">
        <v>56827</v>
      </c>
      <c r="C415" s="5">
        <f t="shared" si="48"/>
        <v>0</v>
      </c>
      <c r="D415" s="12">
        <f t="shared" si="42"/>
        <v>0</v>
      </c>
      <c r="E415" s="3">
        <f t="shared" si="43"/>
        <v>0</v>
      </c>
      <c r="F415" s="3">
        <f t="shared" si="44"/>
        <v>0</v>
      </c>
      <c r="G415" s="5">
        <f t="shared" si="45"/>
        <v>0</v>
      </c>
      <c r="H415" s="5">
        <v>0</v>
      </c>
      <c r="I415" s="5">
        <f t="shared" si="46"/>
        <v>0</v>
      </c>
      <c r="J415" s="5">
        <f t="shared" si="47"/>
        <v>0</v>
      </c>
      <c r="K415" s="2"/>
    </row>
    <row r="416" spans="1:11" x14ac:dyDescent="0.25">
      <c r="A416" s="8">
        <v>405</v>
      </c>
      <c r="B416" s="9">
        <v>56858</v>
      </c>
      <c r="C416" s="5">
        <f t="shared" si="48"/>
        <v>0</v>
      </c>
      <c r="D416" s="12">
        <f t="shared" si="42"/>
        <v>0</v>
      </c>
      <c r="E416" s="3">
        <f t="shared" si="43"/>
        <v>0</v>
      </c>
      <c r="F416" s="3">
        <f t="shared" si="44"/>
        <v>0</v>
      </c>
      <c r="G416" s="5">
        <f t="shared" si="45"/>
        <v>0</v>
      </c>
      <c r="H416" s="5">
        <v>0</v>
      </c>
      <c r="I416" s="5">
        <f t="shared" si="46"/>
        <v>0</v>
      </c>
      <c r="J416" s="5">
        <f t="shared" si="47"/>
        <v>0</v>
      </c>
      <c r="K416" s="2"/>
    </row>
    <row r="417" spans="1:11" x14ac:dyDescent="0.25">
      <c r="A417" s="8">
        <v>406</v>
      </c>
      <c r="B417" s="9">
        <v>56888</v>
      </c>
      <c r="C417" s="5">
        <f t="shared" si="48"/>
        <v>0</v>
      </c>
      <c r="D417" s="12">
        <f t="shared" si="42"/>
        <v>0</v>
      </c>
      <c r="E417" s="3">
        <f t="shared" si="43"/>
        <v>0</v>
      </c>
      <c r="F417" s="3">
        <f t="shared" si="44"/>
        <v>0</v>
      </c>
      <c r="G417" s="5">
        <f t="shared" si="45"/>
        <v>0</v>
      </c>
      <c r="H417" s="5">
        <v>0</v>
      </c>
      <c r="I417" s="5">
        <f t="shared" si="46"/>
        <v>0</v>
      </c>
      <c r="J417" s="5">
        <f t="shared" si="47"/>
        <v>0</v>
      </c>
      <c r="K417" s="2"/>
    </row>
    <row r="418" spans="1:11" x14ac:dyDescent="0.25">
      <c r="A418" s="8">
        <v>407</v>
      </c>
      <c r="B418" s="9">
        <v>56919</v>
      </c>
      <c r="C418" s="5">
        <f t="shared" si="48"/>
        <v>0</v>
      </c>
      <c r="D418" s="12">
        <f t="shared" si="42"/>
        <v>0</v>
      </c>
      <c r="E418" s="3">
        <f t="shared" si="43"/>
        <v>0</v>
      </c>
      <c r="F418" s="3">
        <f t="shared" si="44"/>
        <v>0</v>
      </c>
      <c r="G418" s="5">
        <f t="shared" si="45"/>
        <v>0</v>
      </c>
      <c r="H418" s="5">
        <v>0</v>
      </c>
      <c r="I418" s="5">
        <f t="shared" si="46"/>
        <v>0</v>
      </c>
      <c r="J418" s="5">
        <f t="shared" si="47"/>
        <v>0</v>
      </c>
      <c r="K418" s="2"/>
    </row>
    <row r="419" spans="1:11" x14ac:dyDescent="0.25">
      <c r="A419" s="8">
        <v>408</v>
      </c>
      <c r="B419" s="9">
        <v>56949</v>
      </c>
      <c r="C419" s="5">
        <f t="shared" si="48"/>
        <v>0</v>
      </c>
      <c r="D419" s="12">
        <f t="shared" si="42"/>
        <v>0</v>
      </c>
      <c r="E419" s="3">
        <f t="shared" si="43"/>
        <v>0</v>
      </c>
      <c r="F419" s="3">
        <f t="shared" si="44"/>
        <v>0</v>
      </c>
      <c r="G419" s="5">
        <f t="shared" si="45"/>
        <v>0</v>
      </c>
      <c r="H419" s="5">
        <v>0</v>
      </c>
      <c r="I419" s="5">
        <f t="shared" si="46"/>
        <v>0</v>
      </c>
      <c r="J419" s="5">
        <f t="shared" si="47"/>
        <v>0</v>
      </c>
      <c r="K419" s="2"/>
    </row>
    <row r="420" spans="1:11" x14ac:dyDescent="0.25">
      <c r="A420" s="8">
        <v>409</v>
      </c>
      <c r="B420" s="9">
        <v>56980</v>
      </c>
      <c r="C420" s="5">
        <f t="shared" si="48"/>
        <v>0</v>
      </c>
      <c r="D420" s="12">
        <f t="shared" si="42"/>
        <v>0</v>
      </c>
      <c r="E420" s="3">
        <f t="shared" si="43"/>
        <v>0</v>
      </c>
      <c r="F420" s="3">
        <f t="shared" si="44"/>
        <v>0</v>
      </c>
      <c r="G420" s="5">
        <f t="shared" si="45"/>
        <v>0</v>
      </c>
      <c r="H420" s="5">
        <v>0</v>
      </c>
      <c r="I420" s="5">
        <f t="shared" si="46"/>
        <v>0</v>
      </c>
      <c r="J420" s="5">
        <f t="shared" si="47"/>
        <v>0</v>
      </c>
      <c r="K420" s="2"/>
    </row>
    <row r="421" spans="1:11" x14ac:dyDescent="0.25">
      <c r="A421" s="8">
        <v>410</v>
      </c>
      <c r="B421" s="9">
        <v>57011</v>
      </c>
      <c r="C421" s="5">
        <f t="shared" si="48"/>
        <v>0</v>
      </c>
      <c r="D421" s="12">
        <f t="shared" si="42"/>
        <v>0</v>
      </c>
      <c r="E421" s="3">
        <f t="shared" si="43"/>
        <v>0</v>
      </c>
      <c r="F421" s="3">
        <f t="shared" si="44"/>
        <v>0</v>
      </c>
      <c r="G421" s="5">
        <f t="shared" si="45"/>
        <v>0</v>
      </c>
      <c r="H421" s="5">
        <v>0</v>
      </c>
      <c r="I421" s="5">
        <f t="shared" si="46"/>
        <v>0</v>
      </c>
      <c r="J421" s="5">
        <f t="shared" si="47"/>
        <v>0</v>
      </c>
      <c r="K421" s="2"/>
    </row>
    <row r="422" spans="1:11" x14ac:dyDescent="0.25">
      <c r="A422" s="8">
        <v>411</v>
      </c>
      <c r="B422" s="9">
        <v>57040</v>
      </c>
      <c r="C422" s="5">
        <f t="shared" si="48"/>
        <v>0</v>
      </c>
      <c r="D422" s="12">
        <f t="shared" si="42"/>
        <v>0</v>
      </c>
      <c r="E422" s="3">
        <f t="shared" si="43"/>
        <v>0</v>
      </c>
      <c r="F422" s="3">
        <f t="shared" si="44"/>
        <v>0</v>
      </c>
      <c r="G422" s="5">
        <f t="shared" si="45"/>
        <v>0</v>
      </c>
      <c r="H422" s="5">
        <v>0</v>
      </c>
      <c r="I422" s="5">
        <f t="shared" si="46"/>
        <v>0</v>
      </c>
      <c r="J422" s="5">
        <f t="shared" si="47"/>
        <v>0</v>
      </c>
      <c r="K422" s="2"/>
    </row>
    <row r="423" spans="1:11" x14ac:dyDescent="0.25">
      <c r="A423" s="8">
        <v>412</v>
      </c>
      <c r="B423" s="9">
        <v>57071</v>
      </c>
      <c r="C423" s="5">
        <f t="shared" si="48"/>
        <v>0</v>
      </c>
      <c r="D423" s="12">
        <f t="shared" si="42"/>
        <v>0</v>
      </c>
      <c r="E423" s="3">
        <f t="shared" si="43"/>
        <v>0</v>
      </c>
      <c r="F423" s="3">
        <f t="shared" si="44"/>
        <v>0</v>
      </c>
      <c r="G423" s="5">
        <f t="shared" si="45"/>
        <v>0</v>
      </c>
      <c r="H423" s="5">
        <v>0</v>
      </c>
      <c r="I423" s="5">
        <f t="shared" si="46"/>
        <v>0</v>
      </c>
      <c r="J423" s="5">
        <f t="shared" si="47"/>
        <v>0</v>
      </c>
      <c r="K423" s="2"/>
    </row>
    <row r="424" spans="1:11" x14ac:dyDescent="0.25">
      <c r="A424" s="8">
        <v>413</v>
      </c>
      <c r="B424" s="9">
        <v>57101</v>
      </c>
      <c r="C424" s="5">
        <f t="shared" si="48"/>
        <v>0</v>
      </c>
      <c r="D424" s="12">
        <f t="shared" si="42"/>
        <v>0</v>
      </c>
      <c r="E424" s="3">
        <f t="shared" si="43"/>
        <v>0</v>
      </c>
      <c r="F424" s="3">
        <f t="shared" si="44"/>
        <v>0</v>
      </c>
      <c r="G424" s="5">
        <f t="shared" si="45"/>
        <v>0</v>
      </c>
      <c r="H424" s="5">
        <v>0</v>
      </c>
      <c r="I424" s="5">
        <f t="shared" si="46"/>
        <v>0</v>
      </c>
      <c r="J424" s="5">
        <f t="shared" si="47"/>
        <v>0</v>
      </c>
      <c r="K424" s="2"/>
    </row>
    <row r="425" spans="1:11" x14ac:dyDescent="0.25">
      <c r="A425" s="8">
        <v>414</v>
      </c>
      <c r="B425" s="9">
        <v>57132</v>
      </c>
      <c r="C425" s="5">
        <f t="shared" si="48"/>
        <v>0</v>
      </c>
      <c r="D425" s="12">
        <f t="shared" si="42"/>
        <v>0</v>
      </c>
      <c r="E425" s="3">
        <f t="shared" si="43"/>
        <v>0</v>
      </c>
      <c r="F425" s="3">
        <f t="shared" si="44"/>
        <v>0</v>
      </c>
      <c r="G425" s="5">
        <f t="shared" si="45"/>
        <v>0</v>
      </c>
      <c r="H425" s="5">
        <v>0</v>
      </c>
      <c r="I425" s="5">
        <f t="shared" si="46"/>
        <v>0</v>
      </c>
      <c r="J425" s="5">
        <f t="shared" si="47"/>
        <v>0</v>
      </c>
      <c r="K425" s="2"/>
    </row>
    <row r="426" spans="1:11" x14ac:dyDescent="0.25">
      <c r="A426" s="8">
        <v>415</v>
      </c>
      <c r="B426" s="9">
        <v>57162</v>
      </c>
      <c r="C426" s="5">
        <f t="shared" si="48"/>
        <v>0</v>
      </c>
      <c r="D426" s="12">
        <f t="shared" si="42"/>
        <v>0</v>
      </c>
      <c r="E426" s="3">
        <f t="shared" si="43"/>
        <v>0</v>
      </c>
      <c r="F426" s="3">
        <f t="shared" si="44"/>
        <v>0</v>
      </c>
      <c r="G426" s="5">
        <f t="shared" si="45"/>
        <v>0</v>
      </c>
      <c r="H426" s="5">
        <v>0</v>
      </c>
      <c r="I426" s="5">
        <f t="shared" si="46"/>
        <v>0</v>
      </c>
      <c r="J426" s="5">
        <f t="shared" si="47"/>
        <v>0</v>
      </c>
      <c r="K426" s="2"/>
    </row>
    <row r="427" spans="1:11" x14ac:dyDescent="0.25">
      <c r="A427" s="8">
        <v>416</v>
      </c>
      <c r="B427" s="9">
        <v>57193</v>
      </c>
      <c r="C427" s="5">
        <f t="shared" si="48"/>
        <v>0</v>
      </c>
      <c r="D427" s="12">
        <f t="shared" si="42"/>
        <v>0</v>
      </c>
      <c r="E427" s="3">
        <f t="shared" si="43"/>
        <v>0</v>
      </c>
      <c r="F427" s="3">
        <f t="shared" si="44"/>
        <v>0</v>
      </c>
      <c r="G427" s="5">
        <f t="shared" si="45"/>
        <v>0</v>
      </c>
      <c r="H427" s="5">
        <v>0</v>
      </c>
      <c r="I427" s="5">
        <f t="shared" si="46"/>
        <v>0</v>
      </c>
      <c r="J427" s="5">
        <f t="shared" si="47"/>
        <v>0</v>
      </c>
      <c r="K427" s="2"/>
    </row>
    <row r="428" spans="1:11" x14ac:dyDescent="0.25">
      <c r="A428" s="8">
        <v>417</v>
      </c>
      <c r="B428" s="9">
        <v>57224</v>
      </c>
      <c r="C428" s="5">
        <f t="shared" si="48"/>
        <v>0</v>
      </c>
      <c r="D428" s="12">
        <f t="shared" si="42"/>
        <v>0</v>
      </c>
      <c r="E428" s="3">
        <f t="shared" si="43"/>
        <v>0</v>
      </c>
      <c r="F428" s="3">
        <f t="shared" si="44"/>
        <v>0</v>
      </c>
      <c r="G428" s="5">
        <f t="shared" si="45"/>
        <v>0</v>
      </c>
      <c r="H428" s="5">
        <v>0</v>
      </c>
      <c r="I428" s="5">
        <f t="shared" si="46"/>
        <v>0</v>
      </c>
      <c r="J428" s="5">
        <f t="shared" si="47"/>
        <v>0</v>
      </c>
      <c r="K428" s="2"/>
    </row>
    <row r="429" spans="1:11" x14ac:dyDescent="0.25">
      <c r="A429" s="8">
        <v>418</v>
      </c>
      <c r="B429" s="9">
        <v>57254</v>
      </c>
      <c r="C429" s="5">
        <f t="shared" si="48"/>
        <v>0</v>
      </c>
      <c r="D429" s="12">
        <f t="shared" si="42"/>
        <v>0</v>
      </c>
      <c r="E429" s="3">
        <f t="shared" si="43"/>
        <v>0</v>
      </c>
      <c r="F429" s="3">
        <f t="shared" si="44"/>
        <v>0</v>
      </c>
      <c r="G429" s="5">
        <f t="shared" si="45"/>
        <v>0</v>
      </c>
      <c r="H429" s="5">
        <v>0</v>
      </c>
      <c r="I429" s="5">
        <f t="shared" si="46"/>
        <v>0</v>
      </c>
      <c r="J429" s="5">
        <f t="shared" si="47"/>
        <v>0</v>
      </c>
      <c r="K429" s="2"/>
    </row>
    <row r="430" spans="1:11" x14ac:dyDescent="0.25">
      <c r="A430" s="8">
        <v>419</v>
      </c>
      <c r="B430" s="9">
        <v>57285</v>
      </c>
      <c r="C430" s="5">
        <f t="shared" si="48"/>
        <v>0</v>
      </c>
      <c r="D430" s="12">
        <f t="shared" si="42"/>
        <v>0</v>
      </c>
      <c r="E430" s="3">
        <f t="shared" si="43"/>
        <v>0</v>
      </c>
      <c r="F430" s="3">
        <f t="shared" si="44"/>
        <v>0</v>
      </c>
      <c r="G430" s="5">
        <f t="shared" si="45"/>
        <v>0</v>
      </c>
      <c r="H430" s="5">
        <v>0</v>
      </c>
      <c r="I430" s="5">
        <f t="shared" si="46"/>
        <v>0</v>
      </c>
      <c r="J430" s="5">
        <f t="shared" si="47"/>
        <v>0</v>
      </c>
      <c r="K430" s="2"/>
    </row>
    <row r="431" spans="1:11" x14ac:dyDescent="0.25">
      <c r="A431" s="8">
        <v>420</v>
      </c>
      <c r="B431" s="9">
        <v>57315</v>
      </c>
      <c r="C431" s="5">
        <f t="shared" si="48"/>
        <v>0</v>
      </c>
      <c r="D431" s="12">
        <f t="shared" si="42"/>
        <v>0</v>
      </c>
      <c r="E431" s="3">
        <f t="shared" si="43"/>
        <v>0</v>
      </c>
      <c r="F431" s="3">
        <f t="shared" si="44"/>
        <v>0</v>
      </c>
      <c r="G431" s="5">
        <f t="shared" si="45"/>
        <v>0</v>
      </c>
      <c r="H431" s="5">
        <v>0</v>
      </c>
      <c r="I431" s="5">
        <f t="shared" si="46"/>
        <v>0</v>
      </c>
      <c r="J431" s="5">
        <f t="shared" si="47"/>
        <v>0</v>
      </c>
      <c r="K431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30a</vt:lpstr>
      <vt:lpstr>Iterativa</vt:lpstr>
      <vt:lpstr>testes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Eduardo Verri</cp:lastModifiedBy>
  <dcterms:created xsi:type="dcterms:W3CDTF">2021-08-06T17:56:27Z</dcterms:created>
  <dcterms:modified xsi:type="dcterms:W3CDTF">2024-12-05T17:36:03Z</dcterms:modified>
</cp:coreProperties>
</file>