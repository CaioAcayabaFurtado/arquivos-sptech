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bandteccom-my.sharepoint.com/personal/caio_furtado_sptech_school/Documents/"/>
    </mc:Choice>
  </mc:AlternateContent>
  <xr:revisionPtr revIDLastSave="0" documentId="8_{C035F278-6431-4F4A-BE0E-8AA1161710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025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4" l="1"/>
  <c r="J10" i="4"/>
  <c r="J11" i="4"/>
  <c r="J12" i="4"/>
  <c r="J13" i="4"/>
  <c r="J14" i="4"/>
  <c r="J15" i="4"/>
  <c r="J16" i="4"/>
  <c r="AM16" i="4"/>
  <c r="AL16" i="4"/>
  <c r="AK16" i="4"/>
  <c r="AH16" i="4"/>
  <c r="AE16" i="4"/>
  <c r="AB16" i="4"/>
  <c r="Y16" i="4"/>
  <c r="V16" i="4"/>
  <c r="S16" i="4"/>
  <c r="P16" i="4"/>
  <c r="M16" i="4"/>
  <c r="G16" i="4"/>
  <c r="D16" i="4"/>
  <c r="D18" i="4"/>
  <c r="AM25" i="4"/>
  <c r="AL25" i="4"/>
  <c r="AL24" i="4" s="1"/>
  <c r="AM23" i="4"/>
  <c r="AL23" i="4"/>
  <c r="AM22" i="4"/>
  <c r="AL22" i="4"/>
  <c r="AM21" i="4"/>
  <c r="AL21" i="4"/>
  <c r="AM20" i="4"/>
  <c r="AL20" i="4"/>
  <c r="AM19" i="4"/>
  <c r="AL19" i="4"/>
  <c r="AM18" i="4"/>
  <c r="AL18" i="4"/>
  <c r="AM15" i="4"/>
  <c r="AL15" i="4"/>
  <c r="AM14" i="4"/>
  <c r="AL14" i="4"/>
  <c r="AM13" i="4"/>
  <c r="AL13" i="4"/>
  <c r="AM12" i="4"/>
  <c r="AL12" i="4"/>
  <c r="AM11" i="4"/>
  <c r="AL11" i="4"/>
  <c r="AM10" i="4"/>
  <c r="AL10" i="4"/>
  <c r="AM9" i="4"/>
  <c r="AL9" i="4"/>
  <c r="AK25" i="4"/>
  <c r="AJ24" i="4"/>
  <c r="AI24" i="4"/>
  <c r="AK23" i="4"/>
  <c r="AK22" i="4"/>
  <c r="AK21" i="4"/>
  <c r="AK20" i="4"/>
  <c r="AK19" i="4"/>
  <c r="AK18" i="4"/>
  <c r="AJ17" i="4"/>
  <c r="AI17" i="4"/>
  <c r="AK15" i="4"/>
  <c r="AK14" i="4"/>
  <c r="AK13" i="4"/>
  <c r="AK12" i="4"/>
  <c r="AK11" i="4"/>
  <c r="AK10" i="4"/>
  <c r="AK9" i="4"/>
  <c r="AJ8" i="4"/>
  <c r="AI8" i="4"/>
  <c r="AH25" i="4"/>
  <c r="AG24" i="4"/>
  <c r="AF24" i="4"/>
  <c r="AH23" i="4"/>
  <c r="AH22" i="4"/>
  <c r="AH21" i="4"/>
  <c r="AH20" i="4"/>
  <c r="AH19" i="4"/>
  <c r="AH18" i="4"/>
  <c r="AG17" i="4"/>
  <c r="AF17" i="4"/>
  <c r="AH15" i="4"/>
  <c r="AH14" i="4"/>
  <c r="AH13" i="4"/>
  <c r="AH12" i="4"/>
  <c r="AH11" i="4"/>
  <c r="AH10" i="4"/>
  <c r="AH9" i="4"/>
  <c r="AG8" i="4"/>
  <c r="AF8" i="4"/>
  <c r="AE25" i="4"/>
  <c r="AD24" i="4"/>
  <c r="AC24" i="4"/>
  <c r="AE23" i="4"/>
  <c r="AE22" i="4"/>
  <c r="AE21" i="4"/>
  <c r="AE20" i="4"/>
  <c r="AE19" i="4"/>
  <c r="AE18" i="4"/>
  <c r="AD17" i="4"/>
  <c r="AC17" i="4"/>
  <c r="AE15" i="4"/>
  <c r="AE14" i="4"/>
  <c r="AE13" i="4"/>
  <c r="AE12" i="4"/>
  <c r="AE11" i="4"/>
  <c r="AE10" i="4"/>
  <c r="AE9" i="4"/>
  <c r="AD8" i="4"/>
  <c r="AC8" i="4"/>
  <c r="AB25" i="4"/>
  <c r="AA24" i="4"/>
  <c r="Z24" i="4"/>
  <c r="AB23" i="4"/>
  <c r="AB22" i="4"/>
  <c r="AB21" i="4"/>
  <c r="AB20" i="4"/>
  <c r="AB19" i="4"/>
  <c r="AB18" i="4"/>
  <c r="AA17" i="4"/>
  <c r="Z17" i="4"/>
  <c r="AB15" i="4"/>
  <c r="AB14" i="4"/>
  <c r="AB13" i="4"/>
  <c r="AB12" i="4"/>
  <c r="AB11" i="4"/>
  <c r="AB10" i="4"/>
  <c r="AB9" i="4"/>
  <c r="AA8" i="4"/>
  <c r="Z8" i="4"/>
  <c r="Y25" i="4"/>
  <c r="X24" i="4"/>
  <c r="W24" i="4"/>
  <c r="Y23" i="4"/>
  <c r="Y22" i="4"/>
  <c r="Y21" i="4"/>
  <c r="Y20" i="4"/>
  <c r="Y19" i="4"/>
  <c r="Y18" i="4"/>
  <c r="X17" i="4"/>
  <c r="W17" i="4"/>
  <c r="Y15" i="4"/>
  <c r="Y14" i="4"/>
  <c r="Y13" i="4"/>
  <c r="Y12" i="4"/>
  <c r="Y11" i="4"/>
  <c r="Y10" i="4"/>
  <c r="Y9" i="4"/>
  <c r="X8" i="4"/>
  <c r="W8" i="4"/>
  <c r="V25" i="4"/>
  <c r="U24" i="4"/>
  <c r="T24" i="4"/>
  <c r="V23" i="4"/>
  <c r="V22" i="4"/>
  <c r="V21" i="4"/>
  <c r="V20" i="4"/>
  <c r="V19" i="4"/>
  <c r="V18" i="4"/>
  <c r="U17" i="4"/>
  <c r="T17" i="4"/>
  <c r="V15" i="4"/>
  <c r="V14" i="4"/>
  <c r="V13" i="4"/>
  <c r="V12" i="4"/>
  <c r="V11" i="4"/>
  <c r="V10" i="4"/>
  <c r="V9" i="4"/>
  <c r="U8" i="4"/>
  <c r="T8" i="4"/>
  <c r="S25" i="4"/>
  <c r="R24" i="4"/>
  <c r="Q24" i="4"/>
  <c r="S23" i="4"/>
  <c r="S22" i="4"/>
  <c r="S21" i="4"/>
  <c r="S20" i="4"/>
  <c r="S19" i="4"/>
  <c r="S18" i="4"/>
  <c r="R17" i="4"/>
  <c r="Q17" i="4"/>
  <c r="S15" i="4"/>
  <c r="S14" i="4"/>
  <c r="S13" i="4"/>
  <c r="S12" i="4"/>
  <c r="S11" i="4"/>
  <c r="S10" i="4"/>
  <c r="S9" i="4"/>
  <c r="R8" i="4"/>
  <c r="Q8" i="4"/>
  <c r="P25" i="4"/>
  <c r="O24" i="4"/>
  <c r="N24" i="4"/>
  <c r="P23" i="4"/>
  <c r="P22" i="4"/>
  <c r="P21" i="4"/>
  <c r="P20" i="4"/>
  <c r="P19" i="4"/>
  <c r="P18" i="4"/>
  <c r="O17" i="4"/>
  <c r="N17" i="4"/>
  <c r="P15" i="4"/>
  <c r="P14" i="4"/>
  <c r="P13" i="4"/>
  <c r="P12" i="4"/>
  <c r="P11" i="4"/>
  <c r="P10" i="4"/>
  <c r="P9" i="4"/>
  <c r="O8" i="4"/>
  <c r="N8" i="4"/>
  <c r="M25" i="4"/>
  <c r="L24" i="4"/>
  <c r="K24" i="4"/>
  <c r="M23" i="4"/>
  <c r="M22" i="4"/>
  <c r="M21" i="4"/>
  <c r="M20" i="4"/>
  <c r="M19" i="4"/>
  <c r="M18" i="4"/>
  <c r="L17" i="4"/>
  <c r="K17" i="4"/>
  <c r="M15" i="4"/>
  <c r="M14" i="4"/>
  <c r="M13" i="4"/>
  <c r="M12" i="4"/>
  <c r="M11" i="4"/>
  <c r="M10" i="4"/>
  <c r="M9" i="4"/>
  <c r="L8" i="4"/>
  <c r="K8" i="4"/>
  <c r="J25" i="4"/>
  <c r="I24" i="4"/>
  <c r="H24" i="4"/>
  <c r="J23" i="4"/>
  <c r="J22" i="4"/>
  <c r="J21" i="4"/>
  <c r="J20" i="4"/>
  <c r="J19" i="4"/>
  <c r="J18" i="4"/>
  <c r="I17" i="4"/>
  <c r="H17" i="4"/>
  <c r="I8" i="4"/>
  <c r="H8" i="4"/>
  <c r="G25" i="4"/>
  <c r="F24" i="4"/>
  <c r="E24" i="4"/>
  <c r="G23" i="4"/>
  <c r="G22" i="4"/>
  <c r="G21" i="4"/>
  <c r="G20" i="4"/>
  <c r="G19" i="4"/>
  <c r="G18" i="4"/>
  <c r="F17" i="4"/>
  <c r="E17" i="4"/>
  <c r="G15" i="4"/>
  <c r="G14" i="4"/>
  <c r="G13" i="4"/>
  <c r="G12" i="4"/>
  <c r="G11" i="4"/>
  <c r="G10" i="4"/>
  <c r="G9" i="4"/>
  <c r="F8" i="4"/>
  <c r="E8" i="4"/>
  <c r="D23" i="4"/>
  <c r="D22" i="4"/>
  <c r="D21" i="4"/>
  <c r="D20" i="4"/>
  <c r="D19" i="4"/>
  <c r="D15" i="4"/>
  <c r="D14" i="4"/>
  <c r="D13" i="4"/>
  <c r="D12" i="4"/>
  <c r="D11" i="4"/>
  <c r="D10" i="4"/>
  <c r="D9" i="4"/>
  <c r="C24" i="4"/>
  <c r="C17" i="4"/>
  <c r="B17" i="4"/>
  <c r="C8" i="4"/>
  <c r="B24" i="4"/>
  <c r="B8" i="4"/>
  <c r="S8" i="4" l="1"/>
  <c r="M17" i="4"/>
  <c r="AD26" i="4"/>
  <c r="AN16" i="4"/>
  <c r="AN23" i="4"/>
  <c r="AN10" i="4"/>
  <c r="AN13" i="4"/>
  <c r="AN14" i="4"/>
  <c r="M24" i="4"/>
  <c r="Y8" i="4"/>
  <c r="AC26" i="4"/>
  <c r="T26" i="4"/>
  <c r="Z26" i="4"/>
  <c r="AH8" i="4"/>
  <c r="AN11" i="4"/>
  <c r="AN15" i="4"/>
  <c r="AB17" i="4"/>
  <c r="AB24" i="4"/>
  <c r="J24" i="4"/>
  <c r="U26" i="4"/>
  <c r="V26" i="4" s="1"/>
  <c r="J17" i="4"/>
  <c r="G8" i="4"/>
  <c r="K26" i="4"/>
  <c r="Q26" i="4"/>
  <c r="AN25" i="4"/>
  <c r="H26" i="4"/>
  <c r="S17" i="4"/>
  <c r="S24" i="4"/>
  <c r="X26" i="4"/>
  <c r="Y26" i="4" s="1"/>
  <c r="Y24" i="4"/>
  <c r="AE24" i="4"/>
  <c r="AK8" i="4"/>
  <c r="I26" i="4"/>
  <c r="J8" i="4"/>
  <c r="W26" i="4"/>
  <c r="AG26" i="4"/>
  <c r="AH24" i="4"/>
  <c r="AN21" i="4"/>
  <c r="AE8" i="4"/>
  <c r="AM24" i="4"/>
  <c r="AN24" i="4" s="1"/>
  <c r="E26" i="4"/>
  <c r="V8" i="4"/>
  <c r="F26" i="4"/>
  <c r="G24" i="4"/>
  <c r="L26" i="4"/>
  <c r="V17" i="4"/>
  <c r="V24" i="4"/>
  <c r="AA26" i="4"/>
  <c r="AB26" i="4" s="1"/>
  <c r="R26" i="4"/>
  <c r="AB8" i="4"/>
  <c r="AF26" i="4"/>
  <c r="AN20" i="4"/>
  <c r="AN19" i="4"/>
  <c r="AN22" i="4"/>
  <c r="AN12" i="4"/>
  <c r="AK24" i="4"/>
  <c r="AI26" i="4"/>
  <c r="AJ26" i="4"/>
  <c r="AN18" i="4"/>
  <c r="AN9" i="4"/>
  <c r="M8" i="4"/>
  <c r="AL8" i="4"/>
  <c r="AL17" i="4"/>
  <c r="AM17" i="4"/>
  <c r="AM8" i="4"/>
  <c r="P24" i="4"/>
  <c r="P17" i="4"/>
  <c r="P8" i="4"/>
  <c r="N26" i="4"/>
  <c r="AK17" i="4"/>
  <c r="AH17" i="4"/>
  <c r="AE26" i="4"/>
  <c r="AE17" i="4"/>
  <c r="Y17" i="4"/>
  <c r="O26" i="4"/>
  <c r="G17" i="4"/>
  <c r="D17" i="4"/>
  <c r="D24" i="4"/>
  <c r="D8" i="4"/>
  <c r="C26" i="4"/>
  <c r="B26" i="4"/>
  <c r="S26" i="4" l="1"/>
  <c r="G26" i="4"/>
  <c r="M26" i="4"/>
  <c r="AH26" i="4"/>
  <c r="AK26" i="4"/>
  <c r="J26" i="4"/>
  <c r="AL26" i="4"/>
  <c r="AN17" i="4"/>
  <c r="AM26" i="4"/>
  <c r="AN8" i="4"/>
  <c r="P26" i="4"/>
  <c r="D26" i="4"/>
  <c r="AN26" i="4" l="1"/>
</calcChain>
</file>

<file path=xl/sharedStrings.xml><?xml version="1.0" encoding="utf-8"?>
<sst xmlns="http://schemas.openxmlformats.org/spreadsheetml/2006/main" count="62" uniqueCount="26">
  <si>
    <t>Outros</t>
  </si>
  <si>
    <t>Transporte</t>
  </si>
  <si>
    <t>Saúde</t>
  </si>
  <si>
    <t>Lazer</t>
  </si>
  <si>
    <t>Receita</t>
  </si>
  <si>
    <t>Investimentos</t>
  </si>
  <si>
    <t>Bolsa estágio / salário</t>
  </si>
  <si>
    <t>VR</t>
  </si>
  <si>
    <t>VA</t>
  </si>
  <si>
    <t>VT</t>
  </si>
  <si>
    <t>Auxílio HO</t>
  </si>
  <si>
    <t>Mesada</t>
  </si>
  <si>
    <t>Total 2025</t>
  </si>
  <si>
    <t>Despesas</t>
  </si>
  <si>
    <t>Cursos / treinamentos</t>
  </si>
  <si>
    <t>Celular</t>
  </si>
  <si>
    <t>Resultado (saldo)</t>
  </si>
  <si>
    <t>Orçado</t>
  </si>
  <si>
    <t>Realizado</t>
  </si>
  <si>
    <t>Diferença</t>
  </si>
  <si>
    <t>Orçamento Pessoal</t>
  </si>
  <si>
    <t>Nome:</t>
  </si>
  <si>
    <t>Turma:</t>
  </si>
  <si>
    <t>Freelance</t>
  </si>
  <si>
    <t>Alimentação</t>
  </si>
  <si>
    <t>CDB (BTG Pactual)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</si>
</sst>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</font>
    <font>
      <b/>
      <sz val="10"/>
      <color theme="0"/>
      <name val="Arial"/>
      <family val="2"/>
    </font>
    <font>
      <b/>
      <sz val="14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right"/>
    </xf>
    <xf numFmtId="0" fontId="1" fillId="3" borderId="1" xfId="0" applyFont="1" applyFill="1" applyBorder="1"/>
    <xf numFmtId="44" fontId="1" fillId="3" borderId="1" xfId="1" applyFont="1" applyFill="1" applyBorder="1"/>
    <xf numFmtId="44" fontId="1" fillId="3" borderId="1" xfId="0" applyNumberFormat="1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3" fillId="6" borderId="1" xfId="0" applyFont="1" applyFill="1" applyBorder="1"/>
    <xf numFmtId="17" fontId="1" fillId="0" borderId="2" xfId="0" applyNumberFormat="1" applyFont="1" applyBorder="1" applyAlignment="1">
      <alignment horizontal="center" vertical="center"/>
    </xf>
    <xf numFmtId="0" fontId="0" fillId="2" borderId="1" xfId="0" applyFill="1" applyBorder="1"/>
    <xf numFmtId="0" fontId="0" fillId="7" borderId="1" xfId="0" applyFill="1" applyBorder="1"/>
    <xf numFmtId="44" fontId="0" fillId="2" borderId="1" xfId="1" applyFont="1" applyFill="1" applyBorder="1"/>
    <xf numFmtId="44" fontId="1" fillId="4" borderId="1" xfId="1" applyFont="1" applyFill="1" applyBorder="1"/>
    <xf numFmtId="44" fontId="0" fillId="7" borderId="1" xfId="1" applyFont="1" applyFill="1" applyBorder="1"/>
    <xf numFmtId="44" fontId="1" fillId="5" borderId="1" xfId="1" applyFont="1" applyFill="1" applyBorder="1"/>
    <xf numFmtId="44" fontId="0" fillId="8" borderId="1" xfId="1" applyFont="1" applyFill="1" applyBorder="1"/>
    <xf numFmtId="44" fontId="3" fillId="6" borderId="1" xfId="1" applyFont="1" applyFill="1" applyBorder="1"/>
    <xf numFmtId="0" fontId="5" fillId="8" borderId="1" xfId="0" applyFont="1" applyFill="1" applyBorder="1"/>
    <xf numFmtId="17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3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66"/>
      <color rgb="FF000099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B8525-635F-4510-96DC-BA7562871717}">
  <dimension ref="A1:AN26"/>
  <sheetViews>
    <sheetView tabSelected="1" zoomScale="59" zoomScaleNormal="211" workbookViewId="0">
      <selection activeCell="O19" sqref="O19"/>
    </sheetView>
  </sheetViews>
  <sheetFormatPr defaultRowHeight="12.75" x14ac:dyDescent="0.2"/>
  <cols>
    <col min="1" max="1" width="19.42578125" customWidth="1"/>
    <col min="2" max="2" width="15.140625" customWidth="1"/>
    <col min="3" max="3" width="15.7109375" customWidth="1"/>
    <col min="4" max="4" width="15" customWidth="1"/>
    <col min="5" max="5" width="14.5703125" customWidth="1"/>
    <col min="6" max="6" width="10.7109375" customWidth="1"/>
    <col min="7" max="7" width="14" customWidth="1"/>
    <col min="8" max="8" width="17.7109375" customWidth="1"/>
    <col min="9" max="9" width="14.5703125" customWidth="1"/>
    <col min="10" max="10" width="18.140625" customWidth="1"/>
    <col min="11" max="11" width="16.5703125" customWidth="1"/>
    <col min="12" max="12" width="14.28515625" customWidth="1"/>
    <col min="13" max="13" width="16.85546875" customWidth="1"/>
    <col min="14" max="14" width="19.42578125" customWidth="1"/>
    <col min="15" max="15" width="18.140625" customWidth="1"/>
    <col min="16" max="16" width="17.140625" customWidth="1"/>
    <col min="17" max="17" width="14.85546875" customWidth="1"/>
    <col min="18" max="18" width="10.7109375" customWidth="1"/>
    <col min="19" max="19" width="12.5703125" customWidth="1"/>
    <col min="20" max="20" width="14.140625" customWidth="1"/>
    <col min="21" max="21" width="10.7109375" customWidth="1"/>
    <col min="22" max="22" width="12.5703125" customWidth="1"/>
    <col min="23" max="40" width="10.7109375" customWidth="1"/>
  </cols>
  <sheetData>
    <row r="1" spans="1:40" ht="7.9" customHeight="1" x14ac:dyDescent="0.2"/>
    <row r="2" spans="1:40" ht="22.15" customHeight="1" x14ac:dyDescent="0.2">
      <c r="A2" s="19" t="s">
        <v>20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</row>
    <row r="3" spans="1:40" x14ac:dyDescent="0.2">
      <c r="A3" s="1" t="s">
        <v>21</v>
      </c>
    </row>
    <row r="4" spans="1:40" x14ac:dyDescent="0.2">
      <c r="A4" s="1" t="s">
        <v>22</v>
      </c>
    </row>
    <row r="6" spans="1:40" x14ac:dyDescent="0.2">
      <c r="B6" s="18">
        <v>45658</v>
      </c>
      <c r="C6" s="18"/>
      <c r="D6" s="18"/>
      <c r="E6" s="18">
        <v>45689</v>
      </c>
      <c r="F6" s="18"/>
      <c r="G6" s="18"/>
      <c r="H6" s="18">
        <v>45717</v>
      </c>
      <c r="I6" s="18"/>
      <c r="J6" s="18"/>
      <c r="K6" s="18">
        <v>45748</v>
      </c>
      <c r="L6" s="18"/>
      <c r="M6" s="18"/>
      <c r="N6" s="18">
        <v>45778</v>
      </c>
      <c r="O6" s="18"/>
      <c r="P6" s="18"/>
      <c r="Q6" s="18">
        <v>45809</v>
      </c>
      <c r="R6" s="18"/>
      <c r="S6" s="18"/>
      <c r="T6" s="18">
        <v>45839</v>
      </c>
      <c r="U6" s="18"/>
      <c r="V6" s="18"/>
      <c r="W6" s="18">
        <v>45870</v>
      </c>
      <c r="X6" s="18"/>
      <c r="Y6" s="18"/>
      <c r="Z6" s="18">
        <v>45901</v>
      </c>
      <c r="AA6" s="18"/>
      <c r="AB6" s="18"/>
      <c r="AC6" s="18">
        <v>45931</v>
      </c>
      <c r="AD6" s="18"/>
      <c r="AE6" s="18"/>
      <c r="AF6" s="18">
        <v>45962</v>
      </c>
      <c r="AG6" s="18"/>
      <c r="AH6" s="18"/>
      <c r="AI6" s="18">
        <v>45992</v>
      </c>
      <c r="AJ6" s="18"/>
      <c r="AK6" s="18"/>
      <c r="AL6" s="18" t="s">
        <v>12</v>
      </c>
      <c r="AM6" s="18"/>
      <c r="AN6" s="18"/>
    </row>
    <row r="7" spans="1:40" x14ac:dyDescent="0.2">
      <c r="B7" s="8" t="s">
        <v>17</v>
      </c>
      <c r="C7" s="8" t="s">
        <v>18</v>
      </c>
      <c r="D7" s="8" t="s">
        <v>19</v>
      </c>
      <c r="E7" s="8" t="s">
        <v>17</v>
      </c>
      <c r="F7" s="8" t="s">
        <v>18</v>
      </c>
      <c r="G7" s="8" t="s">
        <v>19</v>
      </c>
      <c r="H7" s="8" t="s">
        <v>17</v>
      </c>
      <c r="I7" s="8" t="s">
        <v>18</v>
      </c>
      <c r="J7" s="8" t="s">
        <v>19</v>
      </c>
      <c r="K7" s="8" t="s">
        <v>17</v>
      </c>
      <c r="L7" s="8" t="s">
        <v>18</v>
      </c>
      <c r="M7" s="8" t="s">
        <v>19</v>
      </c>
      <c r="N7" s="8" t="s">
        <v>17</v>
      </c>
      <c r="O7" s="8" t="s">
        <v>18</v>
      </c>
      <c r="P7" s="8" t="s">
        <v>19</v>
      </c>
      <c r="Q7" s="8" t="s">
        <v>17</v>
      </c>
      <c r="R7" s="8" t="s">
        <v>18</v>
      </c>
      <c r="S7" s="8" t="s">
        <v>19</v>
      </c>
      <c r="T7" s="8" t="s">
        <v>17</v>
      </c>
      <c r="U7" s="8" t="s">
        <v>18</v>
      </c>
      <c r="V7" s="8" t="s">
        <v>19</v>
      </c>
      <c r="W7" s="8" t="s">
        <v>17</v>
      </c>
      <c r="X7" s="8" t="s">
        <v>18</v>
      </c>
      <c r="Y7" s="8" t="s">
        <v>19</v>
      </c>
      <c r="Z7" s="8" t="s">
        <v>17</v>
      </c>
      <c r="AA7" s="8" t="s">
        <v>18</v>
      </c>
      <c r="AB7" s="8" t="s">
        <v>19</v>
      </c>
      <c r="AC7" s="8" t="s">
        <v>17</v>
      </c>
      <c r="AD7" s="8" t="s">
        <v>18</v>
      </c>
      <c r="AE7" s="8" t="s">
        <v>19</v>
      </c>
      <c r="AF7" s="8" t="s">
        <v>17</v>
      </c>
      <c r="AG7" s="8" t="s">
        <v>18</v>
      </c>
      <c r="AH7" s="8" t="s">
        <v>19</v>
      </c>
      <c r="AI7" s="8" t="s">
        <v>17</v>
      </c>
      <c r="AJ7" s="8" t="s">
        <v>18</v>
      </c>
      <c r="AK7" s="8" t="s">
        <v>19</v>
      </c>
      <c r="AL7" s="8" t="s">
        <v>17</v>
      </c>
      <c r="AM7" s="8" t="s">
        <v>18</v>
      </c>
      <c r="AN7" s="8" t="s">
        <v>19</v>
      </c>
    </row>
    <row r="8" spans="1:40" x14ac:dyDescent="0.2">
      <c r="A8" s="2" t="s">
        <v>4</v>
      </c>
      <c r="B8" s="3">
        <f>SUM(B9:B15)</f>
        <v>0</v>
      </c>
      <c r="C8" s="3">
        <f>SUM(C9:C15)</f>
        <v>0</v>
      </c>
      <c r="D8" s="4">
        <f t="shared" ref="D8:D16" si="0">C8-B8</f>
        <v>0</v>
      </c>
      <c r="E8" s="3">
        <f>SUM(E9:E15)</f>
        <v>0</v>
      </c>
      <c r="F8" s="3">
        <f>SUM(F9:F15)</f>
        <v>0</v>
      </c>
      <c r="G8" s="4">
        <f>F8-E8</f>
        <v>0</v>
      </c>
      <c r="H8" s="3">
        <f>SUM(H9:H15)</f>
        <v>3441</v>
      </c>
      <c r="I8" s="3">
        <f>SUM(I9:I15)</f>
        <v>3843</v>
      </c>
      <c r="J8" s="4">
        <f>I8-H8</f>
        <v>402</v>
      </c>
      <c r="K8" s="3">
        <f>SUM(K9:K15)</f>
        <v>3441</v>
      </c>
      <c r="L8" s="3">
        <f>SUM(L9:L15)</f>
        <v>0</v>
      </c>
      <c r="M8" s="4">
        <f>L8-K8</f>
        <v>-3441</v>
      </c>
      <c r="N8" s="3">
        <f>SUM(N9:N15)</f>
        <v>3441</v>
      </c>
      <c r="O8" s="3">
        <f>SUM(O9:O15)</f>
        <v>0</v>
      </c>
      <c r="P8" s="4">
        <f>O8-N8</f>
        <v>-3441</v>
      </c>
      <c r="Q8" s="3">
        <f>SUM(Q9:Q15)</f>
        <v>3441</v>
      </c>
      <c r="R8" s="3">
        <f>SUM(R9:R15)</f>
        <v>0</v>
      </c>
      <c r="S8" s="4">
        <f>R8-Q8</f>
        <v>-3441</v>
      </c>
      <c r="T8" s="3">
        <f>SUM(T9:T15)</f>
        <v>3441</v>
      </c>
      <c r="U8" s="3">
        <f>SUM(U9:U15)</f>
        <v>0</v>
      </c>
      <c r="V8" s="4">
        <f>U8-T8</f>
        <v>-3441</v>
      </c>
      <c r="W8" s="3">
        <f>SUM(W9:W15)</f>
        <v>0</v>
      </c>
      <c r="X8" s="3">
        <f>SUM(X9:X15)</f>
        <v>0</v>
      </c>
      <c r="Y8" s="4">
        <f>X8-W8</f>
        <v>0</v>
      </c>
      <c r="Z8" s="3">
        <f>SUM(Z9:Z15)</f>
        <v>0</v>
      </c>
      <c r="AA8" s="3">
        <f>SUM(AA9:AA15)</f>
        <v>0</v>
      </c>
      <c r="AB8" s="4">
        <f>AA8-Z8</f>
        <v>0</v>
      </c>
      <c r="AC8" s="3">
        <f>SUM(AC9:AC15)</f>
        <v>0</v>
      </c>
      <c r="AD8" s="3">
        <f>SUM(AD9:AD15)</f>
        <v>0</v>
      </c>
      <c r="AE8" s="4">
        <f>AD8-AC8</f>
        <v>0</v>
      </c>
      <c r="AF8" s="3">
        <f>SUM(AF9:AF15)</f>
        <v>0</v>
      </c>
      <c r="AG8" s="3">
        <f>SUM(AG9:AG15)</f>
        <v>0</v>
      </c>
      <c r="AH8" s="4">
        <f>AG8-AF8</f>
        <v>0</v>
      </c>
      <c r="AI8" s="3">
        <f>SUM(AI9:AI15)</f>
        <v>0</v>
      </c>
      <c r="AJ8" s="3">
        <f>SUM(AJ9:AJ15)</f>
        <v>0</v>
      </c>
      <c r="AK8" s="4">
        <f>AJ8-AI8</f>
        <v>0</v>
      </c>
      <c r="AL8" s="3">
        <f>SUM(AL9:AL15)</f>
        <v>17205</v>
      </c>
      <c r="AM8" s="3">
        <f>SUM(AM9:AM15)</f>
        <v>3843</v>
      </c>
      <c r="AN8" s="4">
        <f>AM8-AL8</f>
        <v>-13362</v>
      </c>
    </row>
    <row r="9" spans="1:40" x14ac:dyDescent="0.2">
      <c r="A9" s="9" t="s">
        <v>6</v>
      </c>
      <c r="B9" s="11">
        <v>0</v>
      </c>
      <c r="C9" s="11">
        <v>0</v>
      </c>
      <c r="D9" s="11">
        <f t="shared" si="0"/>
        <v>0</v>
      </c>
      <c r="E9" s="11">
        <v>0</v>
      </c>
      <c r="F9" s="11">
        <v>0</v>
      </c>
      <c r="G9" s="11">
        <f t="shared" ref="G9:G26" si="1">F9-E9</f>
        <v>0</v>
      </c>
      <c r="H9" s="11">
        <v>3241</v>
      </c>
      <c r="I9" s="11">
        <v>2783</v>
      </c>
      <c r="J9" s="11">
        <f t="shared" ref="J9:J26" si="2">I9-H9</f>
        <v>-458</v>
      </c>
      <c r="K9" s="11">
        <v>3241</v>
      </c>
      <c r="L9" s="11"/>
      <c r="M9" s="11">
        <f t="shared" ref="M9:M26" si="3">L9-K9</f>
        <v>-3241</v>
      </c>
      <c r="N9" s="11">
        <v>3241</v>
      </c>
      <c r="O9" s="11"/>
      <c r="P9" s="11">
        <f t="shared" ref="P9:P26" si="4">O9-N9</f>
        <v>-3241</v>
      </c>
      <c r="Q9" s="11">
        <v>3241</v>
      </c>
      <c r="R9" s="11"/>
      <c r="S9" s="11">
        <f t="shared" ref="S9:S26" si="5">R9-Q9</f>
        <v>-3241</v>
      </c>
      <c r="T9" s="11">
        <v>3241</v>
      </c>
      <c r="U9" s="11"/>
      <c r="V9" s="11">
        <f t="shared" ref="V9:V26" si="6">U9-T9</f>
        <v>-3241</v>
      </c>
      <c r="W9" s="11"/>
      <c r="X9" s="11"/>
      <c r="Y9" s="11">
        <f t="shared" ref="Y9:Y26" si="7">X9-W9</f>
        <v>0</v>
      </c>
      <c r="Z9" s="11"/>
      <c r="AA9" s="11"/>
      <c r="AB9" s="11">
        <f t="shared" ref="AB9:AB26" si="8">AA9-Z9</f>
        <v>0</v>
      </c>
      <c r="AC9" s="11"/>
      <c r="AD9" s="11"/>
      <c r="AE9" s="11">
        <f t="shared" ref="AE9:AE26" si="9">AD9-AC9</f>
        <v>0</v>
      </c>
      <c r="AF9" s="11"/>
      <c r="AG9" s="11"/>
      <c r="AH9" s="11">
        <f t="shared" ref="AH9:AH26" si="10">AG9-AF9</f>
        <v>0</v>
      </c>
      <c r="AI9" s="11"/>
      <c r="AJ9" s="11"/>
      <c r="AK9" s="11">
        <f t="shared" ref="AK9:AK26" si="11">AJ9-AI9</f>
        <v>0</v>
      </c>
      <c r="AL9" s="11">
        <f t="shared" ref="AL9:AM16" si="12">B9+E9+H9+K9+N9+Q9+T9+W9+Z9+AC9+AF9+AI9</f>
        <v>16205</v>
      </c>
      <c r="AM9" s="11">
        <f t="shared" si="12"/>
        <v>2783</v>
      </c>
      <c r="AN9" s="11">
        <f t="shared" ref="AN9:AN26" si="13">AM9-AL9</f>
        <v>-13422</v>
      </c>
    </row>
    <row r="10" spans="1:40" x14ac:dyDescent="0.2">
      <c r="A10" s="9" t="s">
        <v>7</v>
      </c>
      <c r="B10" s="11">
        <v>0</v>
      </c>
      <c r="C10" s="11">
        <v>0</v>
      </c>
      <c r="D10" s="11">
        <f t="shared" si="0"/>
        <v>0</v>
      </c>
      <c r="E10" s="11">
        <v>0</v>
      </c>
      <c r="F10" s="11">
        <v>0</v>
      </c>
      <c r="G10" s="11">
        <f t="shared" si="1"/>
        <v>0</v>
      </c>
      <c r="H10" s="11">
        <v>0</v>
      </c>
      <c r="I10" s="11">
        <v>0</v>
      </c>
      <c r="J10" s="11">
        <f t="shared" si="2"/>
        <v>0</v>
      </c>
      <c r="K10" s="11">
        <v>0</v>
      </c>
      <c r="L10" s="11"/>
      <c r="M10" s="11">
        <f t="shared" si="3"/>
        <v>0</v>
      </c>
      <c r="N10" s="11">
        <v>0</v>
      </c>
      <c r="O10" s="11"/>
      <c r="P10" s="11">
        <f t="shared" si="4"/>
        <v>0</v>
      </c>
      <c r="Q10" s="11">
        <v>0</v>
      </c>
      <c r="R10" s="11"/>
      <c r="S10" s="11">
        <f t="shared" si="5"/>
        <v>0</v>
      </c>
      <c r="T10" s="11">
        <v>0</v>
      </c>
      <c r="U10" s="11"/>
      <c r="V10" s="11">
        <f t="shared" si="6"/>
        <v>0</v>
      </c>
      <c r="W10" s="11"/>
      <c r="X10" s="11"/>
      <c r="Y10" s="11">
        <f t="shared" si="7"/>
        <v>0</v>
      </c>
      <c r="Z10" s="11"/>
      <c r="AA10" s="11"/>
      <c r="AB10" s="11">
        <f t="shared" si="8"/>
        <v>0</v>
      </c>
      <c r="AC10" s="11"/>
      <c r="AD10" s="11"/>
      <c r="AE10" s="11">
        <f t="shared" si="9"/>
        <v>0</v>
      </c>
      <c r="AF10" s="11"/>
      <c r="AG10" s="11"/>
      <c r="AH10" s="11">
        <f t="shared" si="10"/>
        <v>0</v>
      </c>
      <c r="AI10" s="11"/>
      <c r="AJ10" s="11"/>
      <c r="AK10" s="11">
        <f t="shared" si="11"/>
        <v>0</v>
      </c>
      <c r="AL10" s="11">
        <f t="shared" si="12"/>
        <v>0</v>
      </c>
      <c r="AM10" s="11">
        <f t="shared" si="12"/>
        <v>0</v>
      </c>
      <c r="AN10" s="11">
        <f t="shared" si="13"/>
        <v>0</v>
      </c>
    </row>
    <row r="11" spans="1:40" x14ac:dyDescent="0.2">
      <c r="A11" s="9" t="s">
        <v>8</v>
      </c>
      <c r="B11" s="11">
        <v>0</v>
      </c>
      <c r="C11" s="11">
        <v>0</v>
      </c>
      <c r="D11" s="11">
        <f t="shared" si="0"/>
        <v>0</v>
      </c>
      <c r="E11" s="11">
        <v>0</v>
      </c>
      <c r="F11" s="11">
        <v>0</v>
      </c>
      <c r="G11" s="11">
        <f t="shared" si="1"/>
        <v>0</v>
      </c>
      <c r="H11" s="11">
        <v>0</v>
      </c>
      <c r="I11" s="11">
        <v>0</v>
      </c>
      <c r="J11" s="11">
        <f t="shared" si="2"/>
        <v>0</v>
      </c>
      <c r="K11" s="11">
        <v>0</v>
      </c>
      <c r="L11" s="11"/>
      <c r="M11" s="11">
        <f t="shared" si="3"/>
        <v>0</v>
      </c>
      <c r="N11" s="11">
        <v>0</v>
      </c>
      <c r="O11" s="11"/>
      <c r="P11" s="11">
        <f t="shared" si="4"/>
        <v>0</v>
      </c>
      <c r="Q11" s="11">
        <v>0</v>
      </c>
      <c r="R11" s="11"/>
      <c r="S11" s="11">
        <f t="shared" si="5"/>
        <v>0</v>
      </c>
      <c r="T11" s="11">
        <v>0</v>
      </c>
      <c r="U11" s="11"/>
      <c r="V11" s="11">
        <f t="shared" si="6"/>
        <v>0</v>
      </c>
      <c r="W11" s="11"/>
      <c r="X11" s="11"/>
      <c r="Y11" s="11">
        <f t="shared" si="7"/>
        <v>0</v>
      </c>
      <c r="Z11" s="11"/>
      <c r="AA11" s="11"/>
      <c r="AB11" s="11">
        <f t="shared" si="8"/>
        <v>0</v>
      </c>
      <c r="AC11" s="11"/>
      <c r="AD11" s="11"/>
      <c r="AE11" s="11">
        <f t="shared" si="9"/>
        <v>0</v>
      </c>
      <c r="AF11" s="11"/>
      <c r="AG11" s="11"/>
      <c r="AH11" s="11">
        <f t="shared" si="10"/>
        <v>0</v>
      </c>
      <c r="AI11" s="11"/>
      <c r="AJ11" s="11"/>
      <c r="AK11" s="11">
        <f t="shared" si="11"/>
        <v>0</v>
      </c>
      <c r="AL11" s="11">
        <f t="shared" si="12"/>
        <v>0</v>
      </c>
      <c r="AM11" s="11">
        <f t="shared" si="12"/>
        <v>0</v>
      </c>
      <c r="AN11" s="11">
        <f t="shared" si="13"/>
        <v>0</v>
      </c>
    </row>
    <row r="12" spans="1:40" x14ac:dyDescent="0.2">
      <c r="A12" s="9" t="s">
        <v>9</v>
      </c>
      <c r="B12" s="11">
        <v>0</v>
      </c>
      <c r="C12" s="11">
        <v>0</v>
      </c>
      <c r="D12" s="11">
        <f t="shared" si="0"/>
        <v>0</v>
      </c>
      <c r="E12" s="11">
        <v>0</v>
      </c>
      <c r="F12" s="11">
        <v>0</v>
      </c>
      <c r="G12" s="11">
        <f t="shared" si="1"/>
        <v>0</v>
      </c>
      <c r="H12" s="11">
        <v>200</v>
      </c>
      <c r="I12" s="11">
        <v>200</v>
      </c>
      <c r="J12" s="11">
        <f t="shared" si="2"/>
        <v>0</v>
      </c>
      <c r="K12" s="11">
        <v>200</v>
      </c>
      <c r="L12" s="11"/>
      <c r="M12" s="11">
        <f t="shared" si="3"/>
        <v>-200</v>
      </c>
      <c r="N12" s="11">
        <v>200</v>
      </c>
      <c r="O12" s="11"/>
      <c r="P12" s="11">
        <f t="shared" si="4"/>
        <v>-200</v>
      </c>
      <c r="Q12" s="11">
        <v>200</v>
      </c>
      <c r="R12" s="11"/>
      <c r="S12" s="11">
        <f t="shared" si="5"/>
        <v>-200</v>
      </c>
      <c r="T12" s="11">
        <v>200</v>
      </c>
      <c r="U12" s="11"/>
      <c r="V12" s="11">
        <f t="shared" si="6"/>
        <v>-200</v>
      </c>
      <c r="W12" s="11"/>
      <c r="X12" s="11"/>
      <c r="Y12" s="11">
        <f t="shared" si="7"/>
        <v>0</v>
      </c>
      <c r="Z12" s="11"/>
      <c r="AA12" s="11"/>
      <c r="AB12" s="11">
        <f t="shared" si="8"/>
        <v>0</v>
      </c>
      <c r="AC12" s="11"/>
      <c r="AD12" s="11"/>
      <c r="AE12" s="11">
        <f t="shared" si="9"/>
        <v>0</v>
      </c>
      <c r="AF12" s="11"/>
      <c r="AG12" s="11"/>
      <c r="AH12" s="11">
        <f t="shared" si="10"/>
        <v>0</v>
      </c>
      <c r="AI12" s="11"/>
      <c r="AJ12" s="11"/>
      <c r="AK12" s="11">
        <f t="shared" si="11"/>
        <v>0</v>
      </c>
      <c r="AL12" s="11">
        <f t="shared" si="12"/>
        <v>1000</v>
      </c>
      <c r="AM12" s="11">
        <f t="shared" si="12"/>
        <v>200</v>
      </c>
      <c r="AN12" s="11">
        <f t="shared" si="13"/>
        <v>-800</v>
      </c>
    </row>
    <row r="13" spans="1:40" x14ac:dyDescent="0.2">
      <c r="A13" s="9" t="s">
        <v>10</v>
      </c>
      <c r="B13" s="11">
        <v>0</v>
      </c>
      <c r="C13" s="11">
        <v>0</v>
      </c>
      <c r="D13" s="11">
        <f t="shared" si="0"/>
        <v>0</v>
      </c>
      <c r="E13" s="11">
        <v>0</v>
      </c>
      <c r="F13" s="11">
        <v>0</v>
      </c>
      <c r="G13" s="11">
        <f t="shared" si="1"/>
        <v>0</v>
      </c>
      <c r="H13" s="11">
        <v>0</v>
      </c>
      <c r="I13" s="11">
        <v>0</v>
      </c>
      <c r="J13" s="11">
        <f t="shared" si="2"/>
        <v>0</v>
      </c>
      <c r="K13" s="11">
        <v>0</v>
      </c>
      <c r="L13" s="11"/>
      <c r="M13" s="11">
        <f t="shared" si="3"/>
        <v>0</v>
      </c>
      <c r="N13" s="11">
        <v>0</v>
      </c>
      <c r="O13" s="11"/>
      <c r="P13" s="11">
        <f t="shared" si="4"/>
        <v>0</v>
      </c>
      <c r="Q13" s="11">
        <v>0</v>
      </c>
      <c r="R13" s="11"/>
      <c r="S13" s="11">
        <f t="shared" si="5"/>
        <v>0</v>
      </c>
      <c r="T13" s="11">
        <v>0</v>
      </c>
      <c r="U13" s="11"/>
      <c r="V13" s="11">
        <f t="shared" si="6"/>
        <v>0</v>
      </c>
      <c r="W13" s="11"/>
      <c r="X13" s="11"/>
      <c r="Y13" s="11">
        <f t="shared" si="7"/>
        <v>0</v>
      </c>
      <c r="Z13" s="11"/>
      <c r="AA13" s="11"/>
      <c r="AB13" s="11">
        <f t="shared" si="8"/>
        <v>0</v>
      </c>
      <c r="AC13" s="11"/>
      <c r="AD13" s="11"/>
      <c r="AE13" s="11">
        <f t="shared" si="9"/>
        <v>0</v>
      </c>
      <c r="AF13" s="11"/>
      <c r="AG13" s="11"/>
      <c r="AH13" s="11">
        <f t="shared" si="10"/>
        <v>0</v>
      </c>
      <c r="AI13" s="11"/>
      <c r="AJ13" s="11"/>
      <c r="AK13" s="11">
        <f t="shared" si="11"/>
        <v>0</v>
      </c>
      <c r="AL13" s="11">
        <f t="shared" si="12"/>
        <v>0</v>
      </c>
      <c r="AM13" s="11">
        <f t="shared" si="12"/>
        <v>0</v>
      </c>
      <c r="AN13" s="11">
        <f t="shared" si="13"/>
        <v>0</v>
      </c>
    </row>
    <row r="14" spans="1:40" x14ac:dyDescent="0.2">
      <c r="A14" s="9" t="s">
        <v>11</v>
      </c>
      <c r="B14" s="11">
        <v>0</v>
      </c>
      <c r="C14" s="11">
        <v>0</v>
      </c>
      <c r="D14" s="11">
        <f t="shared" si="0"/>
        <v>0</v>
      </c>
      <c r="E14" s="11">
        <v>0</v>
      </c>
      <c r="F14" s="11">
        <v>0</v>
      </c>
      <c r="G14" s="11">
        <f t="shared" si="1"/>
        <v>0</v>
      </c>
      <c r="H14" s="11">
        <v>0</v>
      </c>
      <c r="I14" s="11">
        <v>0</v>
      </c>
      <c r="J14" s="11">
        <f t="shared" si="2"/>
        <v>0</v>
      </c>
      <c r="K14" s="11">
        <v>0</v>
      </c>
      <c r="L14" s="11"/>
      <c r="M14" s="11">
        <f t="shared" si="3"/>
        <v>0</v>
      </c>
      <c r="N14" s="11">
        <v>0</v>
      </c>
      <c r="O14" s="11"/>
      <c r="P14" s="11">
        <f t="shared" si="4"/>
        <v>0</v>
      </c>
      <c r="Q14" s="11">
        <v>0</v>
      </c>
      <c r="R14" s="11"/>
      <c r="S14" s="11">
        <f t="shared" si="5"/>
        <v>0</v>
      </c>
      <c r="T14" s="11">
        <v>0</v>
      </c>
      <c r="U14" s="11"/>
      <c r="V14" s="11">
        <f t="shared" si="6"/>
        <v>0</v>
      </c>
      <c r="W14" s="11"/>
      <c r="X14" s="11"/>
      <c r="Y14" s="11">
        <f t="shared" si="7"/>
        <v>0</v>
      </c>
      <c r="Z14" s="11"/>
      <c r="AA14" s="11"/>
      <c r="AB14" s="11">
        <f t="shared" si="8"/>
        <v>0</v>
      </c>
      <c r="AC14" s="11"/>
      <c r="AD14" s="11"/>
      <c r="AE14" s="11">
        <f t="shared" si="9"/>
        <v>0</v>
      </c>
      <c r="AF14" s="11"/>
      <c r="AG14" s="11"/>
      <c r="AH14" s="11">
        <f t="shared" si="10"/>
        <v>0</v>
      </c>
      <c r="AI14" s="11"/>
      <c r="AJ14" s="11"/>
      <c r="AK14" s="11">
        <f t="shared" si="11"/>
        <v>0</v>
      </c>
      <c r="AL14" s="11">
        <f t="shared" si="12"/>
        <v>0</v>
      </c>
      <c r="AM14" s="11">
        <f t="shared" si="12"/>
        <v>0</v>
      </c>
      <c r="AN14" s="11">
        <f t="shared" si="13"/>
        <v>0</v>
      </c>
    </row>
    <row r="15" spans="1:40" x14ac:dyDescent="0.2">
      <c r="A15" s="9" t="s">
        <v>0</v>
      </c>
      <c r="B15" s="11">
        <v>0</v>
      </c>
      <c r="C15" s="11">
        <v>0</v>
      </c>
      <c r="D15" s="11">
        <f t="shared" si="0"/>
        <v>0</v>
      </c>
      <c r="E15" s="11">
        <v>0</v>
      </c>
      <c r="F15" s="11">
        <v>0</v>
      </c>
      <c r="G15" s="11">
        <f t="shared" si="1"/>
        <v>0</v>
      </c>
      <c r="H15" s="11">
        <v>0</v>
      </c>
      <c r="I15" s="11">
        <v>860</v>
      </c>
      <c r="J15" s="11">
        <f t="shared" si="2"/>
        <v>860</v>
      </c>
      <c r="K15" s="11">
        <v>0</v>
      </c>
      <c r="L15" s="11"/>
      <c r="M15" s="11">
        <f t="shared" si="3"/>
        <v>0</v>
      </c>
      <c r="N15" s="11">
        <v>0</v>
      </c>
      <c r="O15" s="11"/>
      <c r="P15" s="11">
        <f t="shared" si="4"/>
        <v>0</v>
      </c>
      <c r="Q15" s="11">
        <v>0</v>
      </c>
      <c r="R15" s="11"/>
      <c r="S15" s="11">
        <f t="shared" si="5"/>
        <v>0</v>
      </c>
      <c r="T15" s="11">
        <v>0</v>
      </c>
      <c r="U15" s="11"/>
      <c r="V15" s="11">
        <f t="shared" si="6"/>
        <v>0</v>
      </c>
      <c r="W15" s="11"/>
      <c r="X15" s="11"/>
      <c r="Y15" s="11">
        <f t="shared" si="7"/>
        <v>0</v>
      </c>
      <c r="Z15" s="11"/>
      <c r="AA15" s="11"/>
      <c r="AB15" s="11">
        <f t="shared" si="8"/>
        <v>0</v>
      </c>
      <c r="AC15" s="11"/>
      <c r="AD15" s="11"/>
      <c r="AE15" s="11">
        <f t="shared" si="9"/>
        <v>0</v>
      </c>
      <c r="AF15" s="11"/>
      <c r="AG15" s="11"/>
      <c r="AH15" s="11">
        <f t="shared" si="10"/>
        <v>0</v>
      </c>
      <c r="AI15" s="11"/>
      <c r="AJ15" s="11"/>
      <c r="AK15" s="11">
        <f t="shared" si="11"/>
        <v>0</v>
      </c>
      <c r="AL15" s="11">
        <f t="shared" si="12"/>
        <v>0</v>
      </c>
      <c r="AM15" s="11">
        <f t="shared" si="12"/>
        <v>860</v>
      </c>
      <c r="AN15" s="11">
        <f t="shared" si="13"/>
        <v>860</v>
      </c>
    </row>
    <row r="16" spans="1:40" x14ac:dyDescent="0.2">
      <c r="A16" s="9" t="s">
        <v>23</v>
      </c>
      <c r="B16" s="11">
        <v>0</v>
      </c>
      <c r="C16" s="11">
        <v>0</v>
      </c>
      <c r="D16" s="11">
        <f t="shared" si="0"/>
        <v>0</v>
      </c>
      <c r="E16" s="11">
        <v>0</v>
      </c>
      <c r="F16" s="11">
        <v>0</v>
      </c>
      <c r="G16" s="11">
        <f t="shared" ref="G16" si="14">F16-E16</f>
        <v>0</v>
      </c>
      <c r="H16" s="11">
        <v>0</v>
      </c>
      <c r="I16" s="11">
        <v>163</v>
      </c>
      <c r="J16" s="11">
        <f t="shared" ref="J16" si="15">I16-H16</f>
        <v>163</v>
      </c>
      <c r="K16" s="11">
        <v>0</v>
      </c>
      <c r="L16" s="11"/>
      <c r="M16" s="11">
        <f t="shared" ref="M16" si="16">L16-K16</f>
        <v>0</v>
      </c>
      <c r="N16" s="11">
        <v>0</v>
      </c>
      <c r="O16" s="11"/>
      <c r="P16" s="11">
        <f t="shared" ref="P16" si="17">O16-N16</f>
        <v>0</v>
      </c>
      <c r="Q16" s="11">
        <v>0</v>
      </c>
      <c r="R16" s="11"/>
      <c r="S16" s="11">
        <f t="shared" ref="S16" si="18">R16-Q16</f>
        <v>0</v>
      </c>
      <c r="T16" s="11">
        <v>0</v>
      </c>
      <c r="U16" s="11"/>
      <c r="V16" s="11">
        <f t="shared" ref="V16" si="19">U16-T16</f>
        <v>0</v>
      </c>
      <c r="W16" s="11"/>
      <c r="X16" s="11"/>
      <c r="Y16" s="11">
        <f t="shared" ref="Y16" si="20">X16-W16</f>
        <v>0</v>
      </c>
      <c r="Z16" s="11"/>
      <c r="AA16" s="11"/>
      <c r="AB16" s="11">
        <f t="shared" ref="AB16" si="21">AA16-Z16</f>
        <v>0</v>
      </c>
      <c r="AC16" s="11"/>
      <c r="AD16" s="11"/>
      <c r="AE16" s="11">
        <f t="shared" ref="AE16" si="22">AD16-AC16</f>
        <v>0</v>
      </c>
      <c r="AF16" s="11"/>
      <c r="AG16" s="11"/>
      <c r="AH16" s="11">
        <f t="shared" ref="AH16" si="23">AG16-AF16</f>
        <v>0</v>
      </c>
      <c r="AI16" s="11"/>
      <c r="AJ16" s="11"/>
      <c r="AK16" s="11">
        <f t="shared" ref="AK16" si="24">AJ16-AI16</f>
        <v>0</v>
      </c>
      <c r="AL16" s="11">
        <f t="shared" si="12"/>
        <v>0</v>
      </c>
      <c r="AM16" s="11">
        <f t="shared" si="12"/>
        <v>163</v>
      </c>
      <c r="AN16" s="11">
        <f t="shared" ref="AN16" si="25">AM16-AL16</f>
        <v>163</v>
      </c>
    </row>
    <row r="17" spans="1:40" x14ac:dyDescent="0.2">
      <c r="A17" s="5" t="s">
        <v>13</v>
      </c>
      <c r="B17" s="12">
        <f>SUM(B18:B23)</f>
        <v>0</v>
      </c>
      <c r="C17" s="12">
        <f>SUM(C18:C23)</f>
        <v>0</v>
      </c>
      <c r="D17" s="12">
        <f t="shared" ref="D17:D26" si="26">C17-B17</f>
        <v>0</v>
      </c>
      <c r="E17" s="12">
        <f>SUM(E18:E23)</f>
        <v>0</v>
      </c>
      <c r="F17" s="12">
        <f>SUM(F18:F23)</f>
        <v>0</v>
      </c>
      <c r="G17" s="12">
        <f t="shared" si="1"/>
        <v>0</v>
      </c>
      <c r="H17" s="12">
        <f>SUM(H18:H23)</f>
        <v>3010</v>
      </c>
      <c r="I17" s="12">
        <f>SUM(I18:I23)</f>
        <v>3395</v>
      </c>
      <c r="J17" s="12">
        <f t="shared" si="2"/>
        <v>385</v>
      </c>
      <c r="K17" s="12">
        <f>SUM(K18:K23)</f>
        <v>3010</v>
      </c>
      <c r="L17" s="12">
        <f>SUM(L18:L23)</f>
        <v>0</v>
      </c>
      <c r="M17" s="12">
        <f t="shared" si="3"/>
        <v>-3010</v>
      </c>
      <c r="N17" s="12">
        <f>SUM(N18:N23)</f>
        <v>3010</v>
      </c>
      <c r="O17" s="12">
        <f>SUM(O18:O23)</f>
        <v>0</v>
      </c>
      <c r="P17" s="12">
        <f t="shared" si="4"/>
        <v>-3010</v>
      </c>
      <c r="Q17" s="12">
        <f>SUM(Q18:Q23)</f>
        <v>3010</v>
      </c>
      <c r="R17" s="12">
        <f>SUM(R18:R23)</f>
        <v>0</v>
      </c>
      <c r="S17" s="12">
        <f t="shared" si="5"/>
        <v>-3010</v>
      </c>
      <c r="T17" s="12">
        <f>SUM(T18:T23)</f>
        <v>3010</v>
      </c>
      <c r="U17" s="12">
        <f>SUM(U18:U23)</f>
        <v>0</v>
      </c>
      <c r="V17" s="12">
        <f t="shared" si="6"/>
        <v>-3010</v>
      </c>
      <c r="W17" s="12">
        <f>SUM(W18:W23)</f>
        <v>0</v>
      </c>
      <c r="X17" s="12">
        <f>SUM(X18:X23)</f>
        <v>0</v>
      </c>
      <c r="Y17" s="12">
        <f t="shared" si="7"/>
        <v>0</v>
      </c>
      <c r="Z17" s="12">
        <f>SUM(Z18:Z23)</f>
        <v>0</v>
      </c>
      <c r="AA17" s="12">
        <f>SUM(AA18:AA23)</f>
        <v>0</v>
      </c>
      <c r="AB17" s="12">
        <f t="shared" si="8"/>
        <v>0</v>
      </c>
      <c r="AC17" s="12">
        <f>SUM(AC18:AC23)</f>
        <v>0</v>
      </c>
      <c r="AD17" s="12">
        <f>SUM(AD18:AD23)</f>
        <v>0</v>
      </c>
      <c r="AE17" s="12">
        <f t="shared" si="9"/>
        <v>0</v>
      </c>
      <c r="AF17" s="12">
        <f>SUM(AF18:AF23)</f>
        <v>0</v>
      </c>
      <c r="AG17" s="12">
        <f>SUM(AG18:AG23)</f>
        <v>0</v>
      </c>
      <c r="AH17" s="12">
        <f t="shared" si="10"/>
        <v>0</v>
      </c>
      <c r="AI17" s="12">
        <f>SUM(AI18:AI23)</f>
        <v>0</v>
      </c>
      <c r="AJ17" s="12">
        <f>SUM(AJ18:AJ23)</f>
        <v>0</v>
      </c>
      <c r="AK17" s="12">
        <f t="shared" si="11"/>
        <v>0</v>
      </c>
      <c r="AL17" s="12">
        <f>SUM(AL18:AL23)</f>
        <v>15050</v>
      </c>
      <c r="AM17" s="12">
        <f>SUM(AM18:AM23)</f>
        <v>3395</v>
      </c>
      <c r="AN17" s="12">
        <f t="shared" si="13"/>
        <v>-11655</v>
      </c>
    </row>
    <row r="18" spans="1:40" x14ac:dyDescent="0.2">
      <c r="A18" s="10" t="s">
        <v>24</v>
      </c>
      <c r="B18" s="13">
        <v>0</v>
      </c>
      <c r="C18" s="13">
        <v>0</v>
      </c>
      <c r="D18" s="13">
        <f>C18-B18</f>
        <v>0</v>
      </c>
      <c r="E18" s="13">
        <v>0</v>
      </c>
      <c r="F18" s="13">
        <v>0</v>
      </c>
      <c r="G18" s="13">
        <f t="shared" si="1"/>
        <v>0</v>
      </c>
      <c r="H18" s="13">
        <v>400</v>
      </c>
      <c r="I18" s="13">
        <v>400</v>
      </c>
      <c r="J18" s="13">
        <f t="shared" si="2"/>
        <v>0</v>
      </c>
      <c r="K18" s="13">
        <v>400</v>
      </c>
      <c r="L18" s="13"/>
      <c r="M18" s="13">
        <f t="shared" si="3"/>
        <v>-400</v>
      </c>
      <c r="N18" s="13">
        <v>400</v>
      </c>
      <c r="O18" s="13"/>
      <c r="P18" s="13">
        <f t="shared" si="4"/>
        <v>-400</v>
      </c>
      <c r="Q18" s="13">
        <v>400</v>
      </c>
      <c r="R18" s="13"/>
      <c r="S18" s="13">
        <f t="shared" si="5"/>
        <v>-400</v>
      </c>
      <c r="T18" s="13">
        <v>400</v>
      </c>
      <c r="U18" s="13"/>
      <c r="V18" s="13">
        <f t="shared" si="6"/>
        <v>-400</v>
      </c>
      <c r="W18" s="13"/>
      <c r="X18" s="13"/>
      <c r="Y18" s="13">
        <f t="shared" si="7"/>
        <v>0</v>
      </c>
      <c r="Z18" s="13"/>
      <c r="AA18" s="13"/>
      <c r="AB18" s="13">
        <f t="shared" si="8"/>
        <v>0</v>
      </c>
      <c r="AC18" s="13"/>
      <c r="AD18" s="13"/>
      <c r="AE18" s="13">
        <f t="shared" si="9"/>
        <v>0</v>
      </c>
      <c r="AF18" s="13"/>
      <c r="AG18" s="13"/>
      <c r="AH18" s="13">
        <f t="shared" si="10"/>
        <v>0</v>
      </c>
      <c r="AI18" s="13"/>
      <c r="AJ18" s="13"/>
      <c r="AK18" s="13">
        <f t="shared" si="11"/>
        <v>0</v>
      </c>
      <c r="AL18" s="13">
        <f t="shared" ref="AL18" si="27">B18+E18+H18+K18+N18+Q18+T18+W18+Z18+AC18+AF18+AI18</f>
        <v>2000</v>
      </c>
      <c r="AM18" s="13">
        <f>C18+F18+I18+L18+O18+R18+U18+X18+AA18+AD18+AG18+AJ18</f>
        <v>400</v>
      </c>
      <c r="AN18" s="13">
        <f t="shared" si="13"/>
        <v>-1600</v>
      </c>
    </row>
    <row r="19" spans="1:40" x14ac:dyDescent="0.2">
      <c r="A19" s="10" t="s">
        <v>1</v>
      </c>
      <c r="B19" s="13">
        <v>0</v>
      </c>
      <c r="C19" s="13">
        <v>0</v>
      </c>
      <c r="D19" s="13">
        <f>C19-B19</f>
        <v>0</v>
      </c>
      <c r="E19" s="13">
        <v>0</v>
      </c>
      <c r="F19" s="13">
        <v>0</v>
      </c>
      <c r="G19" s="13">
        <f t="shared" si="1"/>
        <v>0</v>
      </c>
      <c r="H19" s="13">
        <v>260</v>
      </c>
      <c r="I19" s="13">
        <v>260</v>
      </c>
      <c r="J19" s="13">
        <f t="shared" si="2"/>
        <v>0</v>
      </c>
      <c r="K19" s="13">
        <v>260</v>
      </c>
      <c r="L19" s="13"/>
      <c r="M19" s="13">
        <f t="shared" si="3"/>
        <v>-260</v>
      </c>
      <c r="N19" s="13">
        <v>260</v>
      </c>
      <c r="O19" s="13"/>
      <c r="P19" s="13">
        <f t="shared" si="4"/>
        <v>-260</v>
      </c>
      <c r="Q19" s="13">
        <v>260</v>
      </c>
      <c r="R19" s="13"/>
      <c r="S19" s="13">
        <f t="shared" si="5"/>
        <v>-260</v>
      </c>
      <c r="T19" s="13">
        <v>260</v>
      </c>
      <c r="U19" s="13"/>
      <c r="V19" s="13">
        <f t="shared" si="6"/>
        <v>-260</v>
      </c>
      <c r="W19" s="13"/>
      <c r="X19" s="13"/>
      <c r="Y19" s="13">
        <f t="shared" si="7"/>
        <v>0</v>
      </c>
      <c r="Z19" s="13"/>
      <c r="AA19" s="13"/>
      <c r="AB19" s="13">
        <f t="shared" si="8"/>
        <v>0</v>
      </c>
      <c r="AC19" s="13"/>
      <c r="AD19" s="13"/>
      <c r="AE19" s="13">
        <f t="shared" si="9"/>
        <v>0</v>
      </c>
      <c r="AF19" s="13"/>
      <c r="AG19" s="13"/>
      <c r="AH19" s="13">
        <f t="shared" si="10"/>
        <v>0</v>
      </c>
      <c r="AI19" s="13"/>
      <c r="AJ19" s="13"/>
      <c r="AK19" s="13">
        <f t="shared" si="11"/>
        <v>0</v>
      </c>
      <c r="AL19" s="13">
        <f t="shared" ref="AL19:AM26" si="28">B19+E19+H19+K19+N19+Q19+T19+W19+Z19+AC19+AF19+AI19</f>
        <v>1300</v>
      </c>
      <c r="AM19" s="13">
        <f>C19+F19+I19+L19+O19+R19+U19+X19+AA19+AD19+AG19+AJ19</f>
        <v>260</v>
      </c>
      <c r="AN19" s="13">
        <f t="shared" si="13"/>
        <v>-1040</v>
      </c>
    </row>
    <row r="20" spans="1:40" x14ac:dyDescent="0.2">
      <c r="A20" s="10" t="s">
        <v>14</v>
      </c>
      <c r="B20" s="13">
        <v>0</v>
      </c>
      <c r="C20" s="13">
        <v>0</v>
      </c>
      <c r="D20" s="13">
        <f t="shared" si="26"/>
        <v>0</v>
      </c>
      <c r="E20" s="13">
        <v>0</v>
      </c>
      <c r="F20" s="13">
        <v>0</v>
      </c>
      <c r="G20" s="13">
        <f t="shared" si="1"/>
        <v>0</v>
      </c>
      <c r="H20" s="13">
        <v>2025</v>
      </c>
      <c r="I20" s="13">
        <v>2040</v>
      </c>
      <c r="J20" s="13">
        <f t="shared" si="2"/>
        <v>15</v>
      </c>
      <c r="K20" s="13">
        <v>2025</v>
      </c>
      <c r="L20" s="13"/>
      <c r="M20" s="13">
        <f t="shared" si="3"/>
        <v>-2025</v>
      </c>
      <c r="N20" s="13">
        <v>2025</v>
      </c>
      <c r="O20" s="13"/>
      <c r="P20" s="13">
        <f t="shared" si="4"/>
        <v>-2025</v>
      </c>
      <c r="Q20" s="13">
        <v>2025</v>
      </c>
      <c r="R20" s="13"/>
      <c r="S20" s="13">
        <f t="shared" si="5"/>
        <v>-2025</v>
      </c>
      <c r="T20" s="13">
        <v>2025</v>
      </c>
      <c r="U20" s="13"/>
      <c r="V20" s="13">
        <f t="shared" si="6"/>
        <v>-2025</v>
      </c>
      <c r="W20" s="13"/>
      <c r="X20" s="13"/>
      <c r="Y20" s="13">
        <f t="shared" si="7"/>
        <v>0</v>
      </c>
      <c r="Z20" s="13"/>
      <c r="AA20" s="13"/>
      <c r="AB20" s="13">
        <f t="shared" si="8"/>
        <v>0</v>
      </c>
      <c r="AC20" s="13"/>
      <c r="AD20" s="13"/>
      <c r="AE20" s="13">
        <f t="shared" si="9"/>
        <v>0</v>
      </c>
      <c r="AF20" s="13"/>
      <c r="AG20" s="13"/>
      <c r="AH20" s="13">
        <f t="shared" si="10"/>
        <v>0</v>
      </c>
      <c r="AI20" s="13"/>
      <c r="AJ20" s="13"/>
      <c r="AK20" s="13">
        <f t="shared" si="11"/>
        <v>0</v>
      </c>
      <c r="AL20" s="13">
        <f t="shared" si="28"/>
        <v>10125</v>
      </c>
      <c r="AM20" s="13">
        <f t="shared" ref="AM20:AM23" si="29">C20+F20+I20+L20+O20+R20+U20+X20+AA20+AD20+AG20+AJ20</f>
        <v>2040</v>
      </c>
      <c r="AN20" s="13">
        <f t="shared" si="13"/>
        <v>-8085</v>
      </c>
    </row>
    <row r="21" spans="1:40" x14ac:dyDescent="0.2">
      <c r="A21" s="10" t="s">
        <v>15</v>
      </c>
      <c r="B21" s="13">
        <v>0</v>
      </c>
      <c r="C21" s="13">
        <v>0</v>
      </c>
      <c r="D21" s="13">
        <f t="shared" si="26"/>
        <v>0</v>
      </c>
      <c r="E21" s="13">
        <v>0</v>
      </c>
      <c r="F21" s="13">
        <v>0</v>
      </c>
      <c r="G21" s="13">
        <f t="shared" si="1"/>
        <v>0</v>
      </c>
      <c r="H21" s="13">
        <v>0</v>
      </c>
      <c r="I21" s="13">
        <v>0</v>
      </c>
      <c r="J21" s="13">
        <f t="shared" si="2"/>
        <v>0</v>
      </c>
      <c r="K21" s="13">
        <v>0</v>
      </c>
      <c r="L21" s="13"/>
      <c r="M21" s="13">
        <f t="shared" si="3"/>
        <v>0</v>
      </c>
      <c r="N21" s="13">
        <v>0</v>
      </c>
      <c r="O21" s="13"/>
      <c r="P21" s="13">
        <f t="shared" si="4"/>
        <v>0</v>
      </c>
      <c r="Q21" s="13">
        <v>0</v>
      </c>
      <c r="R21" s="13"/>
      <c r="S21" s="13">
        <f t="shared" si="5"/>
        <v>0</v>
      </c>
      <c r="T21" s="13">
        <v>0</v>
      </c>
      <c r="U21" s="13"/>
      <c r="V21" s="13">
        <f t="shared" si="6"/>
        <v>0</v>
      </c>
      <c r="W21" s="13"/>
      <c r="X21" s="13"/>
      <c r="Y21" s="13">
        <f t="shared" si="7"/>
        <v>0</v>
      </c>
      <c r="Z21" s="13"/>
      <c r="AA21" s="13"/>
      <c r="AB21" s="13">
        <f t="shared" si="8"/>
        <v>0</v>
      </c>
      <c r="AC21" s="13"/>
      <c r="AD21" s="13"/>
      <c r="AE21" s="13">
        <f t="shared" si="9"/>
        <v>0</v>
      </c>
      <c r="AF21" s="13"/>
      <c r="AG21" s="13"/>
      <c r="AH21" s="13">
        <f t="shared" si="10"/>
        <v>0</v>
      </c>
      <c r="AI21" s="13"/>
      <c r="AJ21" s="13"/>
      <c r="AK21" s="13">
        <f t="shared" si="11"/>
        <v>0</v>
      </c>
      <c r="AL21" s="13">
        <f t="shared" si="28"/>
        <v>0</v>
      </c>
      <c r="AM21" s="13">
        <f t="shared" si="29"/>
        <v>0</v>
      </c>
      <c r="AN21" s="13">
        <f t="shared" si="13"/>
        <v>0</v>
      </c>
    </row>
    <row r="22" spans="1:40" x14ac:dyDescent="0.2">
      <c r="A22" s="10" t="s">
        <v>2</v>
      </c>
      <c r="B22" s="13">
        <v>0</v>
      </c>
      <c r="C22" s="13">
        <v>0</v>
      </c>
      <c r="D22" s="13">
        <f t="shared" si="26"/>
        <v>0</v>
      </c>
      <c r="E22" s="13">
        <v>0</v>
      </c>
      <c r="F22" s="13">
        <v>0</v>
      </c>
      <c r="G22" s="13">
        <f t="shared" si="1"/>
        <v>0</v>
      </c>
      <c r="H22" s="13">
        <v>225</v>
      </c>
      <c r="I22" s="13">
        <v>225</v>
      </c>
      <c r="J22" s="13">
        <f t="shared" si="2"/>
        <v>0</v>
      </c>
      <c r="K22" s="13">
        <v>225</v>
      </c>
      <c r="L22" s="13"/>
      <c r="M22" s="13">
        <f t="shared" si="3"/>
        <v>-225</v>
      </c>
      <c r="N22" s="13">
        <v>225</v>
      </c>
      <c r="O22" s="13"/>
      <c r="P22" s="13">
        <f t="shared" si="4"/>
        <v>-225</v>
      </c>
      <c r="Q22" s="13">
        <v>225</v>
      </c>
      <c r="R22" s="13"/>
      <c r="S22" s="13">
        <f t="shared" si="5"/>
        <v>-225</v>
      </c>
      <c r="T22" s="13">
        <v>225</v>
      </c>
      <c r="U22" s="13"/>
      <c r="V22" s="13">
        <f t="shared" si="6"/>
        <v>-225</v>
      </c>
      <c r="W22" s="13"/>
      <c r="X22" s="13"/>
      <c r="Y22" s="13">
        <f t="shared" si="7"/>
        <v>0</v>
      </c>
      <c r="Z22" s="13"/>
      <c r="AA22" s="13"/>
      <c r="AB22" s="13">
        <f t="shared" si="8"/>
        <v>0</v>
      </c>
      <c r="AC22" s="13"/>
      <c r="AD22" s="13"/>
      <c r="AE22" s="13">
        <f t="shared" si="9"/>
        <v>0</v>
      </c>
      <c r="AF22" s="13"/>
      <c r="AG22" s="13"/>
      <c r="AH22" s="13">
        <f t="shared" si="10"/>
        <v>0</v>
      </c>
      <c r="AI22" s="13"/>
      <c r="AJ22" s="13"/>
      <c r="AK22" s="13">
        <f t="shared" si="11"/>
        <v>0</v>
      </c>
      <c r="AL22" s="13">
        <f t="shared" si="28"/>
        <v>1125</v>
      </c>
      <c r="AM22" s="13">
        <f t="shared" si="29"/>
        <v>225</v>
      </c>
      <c r="AN22" s="13">
        <f t="shared" si="13"/>
        <v>-900</v>
      </c>
    </row>
    <row r="23" spans="1:40" x14ac:dyDescent="0.2">
      <c r="A23" s="10" t="s">
        <v>3</v>
      </c>
      <c r="B23" s="13">
        <v>0</v>
      </c>
      <c r="C23" s="13">
        <v>0</v>
      </c>
      <c r="D23" s="13">
        <f t="shared" si="26"/>
        <v>0</v>
      </c>
      <c r="E23" s="13">
        <v>0</v>
      </c>
      <c r="F23" s="13">
        <v>0</v>
      </c>
      <c r="G23" s="13">
        <f t="shared" si="1"/>
        <v>0</v>
      </c>
      <c r="H23" s="13">
        <v>100</v>
      </c>
      <c r="I23" s="13">
        <v>470</v>
      </c>
      <c r="J23" s="13">
        <f t="shared" si="2"/>
        <v>370</v>
      </c>
      <c r="K23" s="13">
        <v>100</v>
      </c>
      <c r="L23" s="13"/>
      <c r="M23" s="13">
        <f t="shared" si="3"/>
        <v>-100</v>
      </c>
      <c r="N23" s="13">
        <v>100</v>
      </c>
      <c r="O23" s="13"/>
      <c r="P23" s="13">
        <f t="shared" si="4"/>
        <v>-100</v>
      </c>
      <c r="Q23" s="13">
        <v>100</v>
      </c>
      <c r="R23" s="13"/>
      <c r="S23" s="13">
        <f t="shared" si="5"/>
        <v>-100</v>
      </c>
      <c r="T23" s="13">
        <v>100</v>
      </c>
      <c r="U23" s="13"/>
      <c r="V23" s="13">
        <f t="shared" si="6"/>
        <v>-100</v>
      </c>
      <c r="W23" s="13"/>
      <c r="X23" s="13"/>
      <c r="Y23" s="13">
        <f t="shared" si="7"/>
        <v>0</v>
      </c>
      <c r="Z23" s="13"/>
      <c r="AA23" s="13"/>
      <c r="AB23" s="13">
        <f t="shared" si="8"/>
        <v>0</v>
      </c>
      <c r="AC23" s="13"/>
      <c r="AD23" s="13"/>
      <c r="AE23" s="13">
        <f t="shared" si="9"/>
        <v>0</v>
      </c>
      <c r="AF23" s="13"/>
      <c r="AG23" s="13"/>
      <c r="AH23" s="13">
        <f t="shared" si="10"/>
        <v>0</v>
      </c>
      <c r="AI23" s="13"/>
      <c r="AJ23" s="13"/>
      <c r="AK23" s="13">
        <f t="shared" si="11"/>
        <v>0</v>
      </c>
      <c r="AL23" s="13">
        <f t="shared" si="28"/>
        <v>500</v>
      </c>
      <c r="AM23" s="13">
        <f t="shared" si="29"/>
        <v>470</v>
      </c>
      <c r="AN23" s="13">
        <f t="shared" si="13"/>
        <v>-30</v>
      </c>
    </row>
    <row r="24" spans="1:40" x14ac:dyDescent="0.2">
      <c r="A24" s="6" t="s">
        <v>5</v>
      </c>
      <c r="B24" s="14">
        <f>SUM(B25)</f>
        <v>0</v>
      </c>
      <c r="C24" s="14">
        <f>SUM(C25)</f>
        <v>0</v>
      </c>
      <c r="D24" s="14">
        <f t="shared" si="26"/>
        <v>0</v>
      </c>
      <c r="E24" s="14">
        <f>SUM(E25)</f>
        <v>0</v>
      </c>
      <c r="F24" s="14">
        <f>SUM(F25)</f>
        <v>0</v>
      </c>
      <c r="G24" s="14">
        <f t="shared" si="1"/>
        <v>0</v>
      </c>
      <c r="H24" s="14">
        <f>SUM(H25)</f>
        <v>420</v>
      </c>
      <c r="I24" s="14">
        <f>SUM(I25)</f>
        <v>420</v>
      </c>
      <c r="J24" s="14">
        <f t="shared" si="2"/>
        <v>0</v>
      </c>
      <c r="K24" s="14">
        <f>SUM(K25)</f>
        <v>420</v>
      </c>
      <c r="L24" s="14">
        <f>SUM(L25)</f>
        <v>0</v>
      </c>
      <c r="M24" s="14">
        <f t="shared" si="3"/>
        <v>-420</v>
      </c>
      <c r="N24" s="14">
        <f>SUM(N25)</f>
        <v>420</v>
      </c>
      <c r="O24" s="14">
        <f>SUM(O25)</f>
        <v>0</v>
      </c>
      <c r="P24" s="14">
        <f t="shared" si="4"/>
        <v>-420</v>
      </c>
      <c r="Q24" s="14">
        <f>SUM(Q25)</f>
        <v>420</v>
      </c>
      <c r="R24" s="14">
        <f>SUM(R25)</f>
        <v>0</v>
      </c>
      <c r="S24" s="14">
        <f t="shared" si="5"/>
        <v>-420</v>
      </c>
      <c r="T24" s="14">
        <f>SUM(T25)</f>
        <v>420</v>
      </c>
      <c r="U24" s="14">
        <f>SUM(U25)</f>
        <v>0</v>
      </c>
      <c r="V24" s="14">
        <f t="shared" si="6"/>
        <v>-420</v>
      </c>
      <c r="W24" s="14">
        <f>SUM(W25)</f>
        <v>0</v>
      </c>
      <c r="X24" s="14">
        <f>SUM(X25)</f>
        <v>0</v>
      </c>
      <c r="Y24" s="14">
        <f t="shared" si="7"/>
        <v>0</v>
      </c>
      <c r="Z24" s="14">
        <f>SUM(Z25)</f>
        <v>0</v>
      </c>
      <c r="AA24" s="14">
        <f>SUM(AA25)</f>
        <v>0</v>
      </c>
      <c r="AB24" s="14">
        <f t="shared" si="8"/>
        <v>0</v>
      </c>
      <c r="AC24" s="14">
        <f>SUM(AC25)</f>
        <v>0</v>
      </c>
      <c r="AD24" s="14">
        <f>SUM(AD25)</f>
        <v>0</v>
      </c>
      <c r="AE24" s="14">
        <f t="shared" si="9"/>
        <v>0</v>
      </c>
      <c r="AF24" s="14">
        <f>SUM(AF25)</f>
        <v>0</v>
      </c>
      <c r="AG24" s="14">
        <f>SUM(AG25)</f>
        <v>0</v>
      </c>
      <c r="AH24" s="14">
        <f t="shared" si="10"/>
        <v>0</v>
      </c>
      <c r="AI24" s="14">
        <f>SUM(AI25)</f>
        <v>0</v>
      </c>
      <c r="AJ24" s="14">
        <f>SUM(AJ25)</f>
        <v>0</v>
      </c>
      <c r="AK24" s="14">
        <f t="shared" si="11"/>
        <v>0</v>
      </c>
      <c r="AL24" s="14">
        <f>SUM(AL25)</f>
        <v>2100</v>
      </c>
      <c r="AM24" s="14">
        <f>SUM(AM25)</f>
        <v>420</v>
      </c>
      <c r="AN24" s="14">
        <f t="shared" si="13"/>
        <v>-1680</v>
      </c>
    </row>
    <row r="25" spans="1:40" x14ac:dyDescent="0.2">
      <c r="A25" s="17" t="s">
        <v>25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f t="shared" si="1"/>
        <v>0</v>
      </c>
      <c r="H25" s="15">
        <v>420</v>
      </c>
      <c r="I25" s="15">
        <v>420</v>
      </c>
      <c r="J25" s="15">
        <f t="shared" si="2"/>
        <v>0</v>
      </c>
      <c r="K25" s="15">
        <v>420</v>
      </c>
      <c r="L25" s="15"/>
      <c r="M25" s="15">
        <f t="shared" si="3"/>
        <v>-420</v>
      </c>
      <c r="N25" s="15">
        <v>420</v>
      </c>
      <c r="O25" s="15"/>
      <c r="P25" s="15">
        <f t="shared" si="4"/>
        <v>-420</v>
      </c>
      <c r="Q25" s="15">
        <v>420</v>
      </c>
      <c r="R25" s="15"/>
      <c r="S25" s="15">
        <f t="shared" si="5"/>
        <v>-420</v>
      </c>
      <c r="T25" s="15">
        <v>420</v>
      </c>
      <c r="U25" s="15"/>
      <c r="V25" s="15">
        <f t="shared" si="6"/>
        <v>-420</v>
      </c>
      <c r="W25" s="15"/>
      <c r="X25" s="15"/>
      <c r="Y25" s="15">
        <f t="shared" si="7"/>
        <v>0</v>
      </c>
      <c r="Z25" s="15"/>
      <c r="AA25" s="15"/>
      <c r="AB25" s="15">
        <f t="shared" si="8"/>
        <v>0</v>
      </c>
      <c r="AC25" s="15"/>
      <c r="AD25" s="15"/>
      <c r="AE25" s="15">
        <f t="shared" si="9"/>
        <v>0</v>
      </c>
      <c r="AF25" s="15"/>
      <c r="AG25" s="15"/>
      <c r="AH25" s="15">
        <f t="shared" si="10"/>
        <v>0</v>
      </c>
      <c r="AI25" s="15"/>
      <c r="AJ25" s="15"/>
      <c r="AK25" s="15">
        <f t="shared" si="11"/>
        <v>0</v>
      </c>
      <c r="AL25" s="15">
        <f t="shared" si="28"/>
        <v>2100</v>
      </c>
      <c r="AM25" s="15">
        <f t="shared" si="28"/>
        <v>420</v>
      </c>
      <c r="AN25" s="15">
        <f t="shared" si="13"/>
        <v>-1680</v>
      </c>
    </row>
    <row r="26" spans="1:40" x14ac:dyDescent="0.2">
      <c r="A26" s="7" t="s">
        <v>16</v>
      </c>
      <c r="B26" s="16">
        <f>B8-B17-B24</f>
        <v>0</v>
      </c>
      <c r="C26" s="16">
        <f>C8-C17-C24</f>
        <v>0</v>
      </c>
      <c r="D26" s="16">
        <f t="shared" si="26"/>
        <v>0</v>
      </c>
      <c r="E26" s="16">
        <f>E8-E17-E24</f>
        <v>0</v>
      </c>
      <c r="F26" s="16">
        <f>F8-F17-F24</f>
        <v>0</v>
      </c>
      <c r="G26" s="16">
        <f t="shared" si="1"/>
        <v>0</v>
      </c>
      <c r="H26" s="16">
        <f>H8-H17-H24</f>
        <v>11</v>
      </c>
      <c r="I26" s="16">
        <f>I8-I17-I24</f>
        <v>28</v>
      </c>
      <c r="J26" s="16">
        <f t="shared" si="2"/>
        <v>17</v>
      </c>
      <c r="K26" s="16">
        <f>K8-K17-K24</f>
        <v>11</v>
      </c>
      <c r="L26" s="16">
        <f>L8-L17-L24</f>
        <v>0</v>
      </c>
      <c r="M26" s="16">
        <f t="shared" si="3"/>
        <v>-11</v>
      </c>
      <c r="N26" s="16">
        <f>N8-N17-N24</f>
        <v>11</v>
      </c>
      <c r="O26" s="16">
        <f>O8-O17-O24</f>
        <v>0</v>
      </c>
      <c r="P26" s="16">
        <f t="shared" si="4"/>
        <v>-11</v>
      </c>
      <c r="Q26" s="16">
        <f>Q8-Q17-Q24</f>
        <v>11</v>
      </c>
      <c r="R26" s="16">
        <f>R8-R17-R24</f>
        <v>0</v>
      </c>
      <c r="S26" s="16">
        <f t="shared" si="5"/>
        <v>-11</v>
      </c>
      <c r="T26" s="16">
        <f>T8-T17-T24</f>
        <v>11</v>
      </c>
      <c r="U26" s="16">
        <f>U8-U17-U24</f>
        <v>0</v>
      </c>
      <c r="V26" s="16">
        <f t="shared" si="6"/>
        <v>-11</v>
      </c>
      <c r="W26" s="16">
        <f>W8-W17-W24</f>
        <v>0</v>
      </c>
      <c r="X26" s="16">
        <f>X8-X17-X24</f>
        <v>0</v>
      </c>
      <c r="Y26" s="16">
        <f t="shared" si="7"/>
        <v>0</v>
      </c>
      <c r="Z26" s="16">
        <f>Z8-Z17-Z24</f>
        <v>0</v>
      </c>
      <c r="AA26" s="16">
        <f>AA8-AA17-AA24</f>
        <v>0</v>
      </c>
      <c r="AB26" s="16">
        <f t="shared" si="8"/>
        <v>0</v>
      </c>
      <c r="AC26" s="16">
        <f>AC8-AC17-AC24</f>
        <v>0</v>
      </c>
      <c r="AD26" s="16">
        <f>AD8-AD17-AD24</f>
        <v>0</v>
      </c>
      <c r="AE26" s="16">
        <f t="shared" si="9"/>
        <v>0</v>
      </c>
      <c r="AF26" s="16">
        <f>AF8-AF17-AF24</f>
        <v>0</v>
      </c>
      <c r="AG26" s="16">
        <f>AG8-AG17-AG24</f>
        <v>0</v>
      </c>
      <c r="AH26" s="16">
        <f t="shared" si="10"/>
        <v>0</v>
      </c>
      <c r="AI26" s="16">
        <f>AI8-AI17-AI24</f>
        <v>0</v>
      </c>
      <c r="AJ26" s="16">
        <f>AJ8-AJ17-AJ24</f>
        <v>0</v>
      </c>
      <c r="AK26" s="16">
        <f t="shared" si="11"/>
        <v>0</v>
      </c>
      <c r="AL26" s="16">
        <f t="shared" si="28"/>
        <v>55</v>
      </c>
      <c r="AM26" s="16">
        <f t="shared" si="28"/>
        <v>28</v>
      </c>
      <c r="AN26" s="16">
        <f t="shared" si="13"/>
        <v>-27</v>
      </c>
    </row>
  </sheetData>
  <mergeCells count="14">
    <mergeCell ref="AL6:AN6"/>
    <mergeCell ref="A2:AN2"/>
    <mergeCell ref="T6:V6"/>
    <mergeCell ref="W6:Y6"/>
    <mergeCell ref="Z6:AB6"/>
    <mergeCell ref="AC6:AE6"/>
    <mergeCell ref="AF6:AH6"/>
    <mergeCell ref="AI6:AK6"/>
    <mergeCell ref="B6:D6"/>
    <mergeCell ref="E6:G6"/>
    <mergeCell ref="H6:J6"/>
    <mergeCell ref="K6:M6"/>
    <mergeCell ref="N6:P6"/>
    <mergeCell ref="Q6:S6"/>
  </mergeCells>
  <conditionalFormatting sqref="D8:D16">
    <cfRule type="cellIs" dxfId="38" priority="52" operator="lessThan">
      <formula>0</formula>
    </cfRule>
  </conditionalFormatting>
  <conditionalFormatting sqref="D17:D23">
    <cfRule type="cellIs" dxfId="37" priority="51" operator="greaterThan">
      <formula>0</formula>
    </cfRule>
  </conditionalFormatting>
  <conditionalFormatting sqref="D24:D26">
    <cfRule type="cellIs" dxfId="36" priority="49" operator="lessThan">
      <formula>0</formula>
    </cfRule>
  </conditionalFormatting>
  <conditionalFormatting sqref="G8:G16">
    <cfRule type="cellIs" dxfId="35" priority="48" operator="lessThan">
      <formula>0</formula>
    </cfRule>
  </conditionalFormatting>
  <conditionalFormatting sqref="G17:G23">
    <cfRule type="cellIs" dxfId="34" priority="47" operator="greaterThan">
      <formula>0</formula>
    </cfRule>
  </conditionalFormatting>
  <conditionalFormatting sqref="G24:G26">
    <cfRule type="cellIs" dxfId="33" priority="45" operator="lessThan">
      <formula>0</formula>
    </cfRule>
  </conditionalFormatting>
  <conditionalFormatting sqref="J8:J16">
    <cfRule type="cellIs" dxfId="32" priority="44" operator="lessThan">
      <formula>0</formula>
    </cfRule>
  </conditionalFormatting>
  <conditionalFormatting sqref="J17:J23">
    <cfRule type="cellIs" dxfId="31" priority="43" operator="greaterThan">
      <formula>0</formula>
    </cfRule>
  </conditionalFormatting>
  <conditionalFormatting sqref="J24:J26">
    <cfRule type="cellIs" dxfId="30" priority="41" operator="lessThan">
      <formula>0</formula>
    </cfRule>
  </conditionalFormatting>
  <conditionalFormatting sqref="M8:M16">
    <cfRule type="cellIs" dxfId="29" priority="40" operator="lessThan">
      <formula>0</formula>
    </cfRule>
  </conditionalFormatting>
  <conditionalFormatting sqref="M17:M23">
    <cfRule type="cellIs" dxfId="28" priority="39" operator="greaterThan">
      <formula>0</formula>
    </cfRule>
  </conditionalFormatting>
  <conditionalFormatting sqref="M24:M26">
    <cfRule type="cellIs" dxfId="27" priority="37" operator="lessThan">
      <formula>0</formula>
    </cfRule>
  </conditionalFormatting>
  <conditionalFormatting sqref="P8:P16">
    <cfRule type="cellIs" dxfId="26" priority="36" operator="lessThan">
      <formula>0</formula>
    </cfRule>
  </conditionalFormatting>
  <conditionalFormatting sqref="P17:P23">
    <cfRule type="cellIs" dxfId="25" priority="35" operator="greaterThan">
      <formula>0</formula>
    </cfRule>
  </conditionalFormatting>
  <conditionalFormatting sqref="P24:P26">
    <cfRule type="cellIs" dxfId="24" priority="33" operator="lessThan">
      <formula>0</formula>
    </cfRule>
  </conditionalFormatting>
  <conditionalFormatting sqref="S8:S16">
    <cfRule type="cellIs" dxfId="23" priority="32" operator="lessThan">
      <formula>0</formula>
    </cfRule>
  </conditionalFormatting>
  <conditionalFormatting sqref="S17:S23">
    <cfRule type="cellIs" dxfId="22" priority="31" operator="greaterThan">
      <formula>0</formula>
    </cfRule>
  </conditionalFormatting>
  <conditionalFormatting sqref="S24:S26">
    <cfRule type="cellIs" dxfId="21" priority="29" operator="lessThan">
      <formula>0</formula>
    </cfRule>
  </conditionalFormatting>
  <conditionalFormatting sqref="V8:V16">
    <cfRule type="cellIs" dxfId="20" priority="28" operator="lessThan">
      <formula>0</formula>
    </cfRule>
  </conditionalFormatting>
  <conditionalFormatting sqref="V17:V23">
    <cfRule type="cellIs" dxfId="19" priority="27" operator="greaterThan">
      <formula>0</formula>
    </cfRule>
  </conditionalFormatting>
  <conditionalFormatting sqref="V24:V26">
    <cfRule type="cellIs" dxfId="18" priority="25" operator="lessThan">
      <formula>0</formula>
    </cfRule>
  </conditionalFormatting>
  <conditionalFormatting sqref="Y8:Y16">
    <cfRule type="cellIs" dxfId="17" priority="24" operator="lessThan">
      <formula>0</formula>
    </cfRule>
  </conditionalFormatting>
  <conditionalFormatting sqref="Y17:Y23">
    <cfRule type="cellIs" dxfId="16" priority="23" operator="greaterThan">
      <formula>0</formula>
    </cfRule>
  </conditionalFormatting>
  <conditionalFormatting sqref="Y24:Y26">
    <cfRule type="cellIs" dxfId="15" priority="21" operator="lessThan">
      <formula>0</formula>
    </cfRule>
  </conditionalFormatting>
  <conditionalFormatting sqref="AB8:AB16">
    <cfRule type="cellIs" dxfId="14" priority="20" operator="lessThan">
      <formula>0</formula>
    </cfRule>
  </conditionalFormatting>
  <conditionalFormatting sqref="AB17:AB23">
    <cfRule type="cellIs" dxfId="13" priority="19" operator="greaterThan">
      <formula>0</formula>
    </cfRule>
  </conditionalFormatting>
  <conditionalFormatting sqref="AB24:AB26">
    <cfRule type="cellIs" dxfId="12" priority="17" operator="lessThan">
      <formula>0</formula>
    </cfRule>
  </conditionalFormatting>
  <conditionalFormatting sqref="AE8:AE16">
    <cfRule type="cellIs" dxfId="11" priority="16" operator="lessThan">
      <formula>0</formula>
    </cfRule>
  </conditionalFormatting>
  <conditionalFormatting sqref="AE17:AE23">
    <cfRule type="cellIs" dxfId="10" priority="15" operator="greaterThan">
      <formula>0</formula>
    </cfRule>
  </conditionalFormatting>
  <conditionalFormatting sqref="AE24:AE26">
    <cfRule type="cellIs" dxfId="9" priority="13" operator="lessThan">
      <formula>0</formula>
    </cfRule>
  </conditionalFormatting>
  <conditionalFormatting sqref="AH8:AH16">
    <cfRule type="cellIs" dxfId="8" priority="12" operator="lessThan">
      <formula>0</formula>
    </cfRule>
  </conditionalFormatting>
  <conditionalFormatting sqref="AH17:AH23">
    <cfRule type="cellIs" dxfId="7" priority="11" operator="greaterThan">
      <formula>0</formula>
    </cfRule>
  </conditionalFormatting>
  <conditionalFormatting sqref="AH24:AH26">
    <cfRule type="cellIs" dxfId="6" priority="9" operator="lessThan">
      <formula>0</formula>
    </cfRule>
  </conditionalFormatting>
  <conditionalFormatting sqref="AK8:AK16">
    <cfRule type="cellIs" dxfId="5" priority="8" operator="lessThan">
      <formula>0</formula>
    </cfRule>
  </conditionalFormatting>
  <conditionalFormatting sqref="AK17:AK23">
    <cfRule type="cellIs" dxfId="4" priority="7" operator="greaterThan">
      <formula>0</formula>
    </cfRule>
  </conditionalFormatting>
  <conditionalFormatting sqref="AK24:AK26">
    <cfRule type="cellIs" dxfId="3" priority="5" operator="lessThan">
      <formula>0</formula>
    </cfRule>
  </conditionalFormatting>
  <conditionalFormatting sqref="AN8:AN16">
    <cfRule type="cellIs" dxfId="2" priority="4" operator="lessThan">
      <formula>0</formula>
    </cfRule>
  </conditionalFormatting>
  <conditionalFormatting sqref="AN17:AN23">
    <cfRule type="cellIs" dxfId="1" priority="3" operator="greaterThan">
      <formula>0</formula>
    </cfRule>
  </conditionalFormatting>
  <conditionalFormatting sqref="AN24:AN26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2844186-265b-4793-912a-671da4ac73b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A269BF505ACD4B84A4678488096051" ma:contentTypeVersion="9" ma:contentTypeDescription="Create a new document." ma:contentTypeScope="" ma:versionID="d7da0bee32bd0a7ba1ff2073b3d3525b">
  <xsd:schema xmlns:xsd="http://www.w3.org/2001/XMLSchema" xmlns:xs="http://www.w3.org/2001/XMLSchema" xmlns:p="http://schemas.microsoft.com/office/2006/metadata/properties" xmlns:ns3="32844186-265b-4793-912a-671da4ac73b2" xmlns:ns4="97232348-304c-4ff8-affc-b0d6bfd913f5" targetNamespace="http://schemas.microsoft.com/office/2006/metadata/properties" ma:root="true" ma:fieldsID="b9a20f907daa8060b617d410bd671c66" ns3:_="" ns4:_="">
    <xsd:import namespace="32844186-265b-4793-912a-671da4ac73b2"/>
    <xsd:import namespace="97232348-304c-4ff8-affc-b0d6bfd913f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44186-265b-4793-912a-671da4ac73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232348-304c-4ff8-affc-b0d6bfd913f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C7D682-9EBB-47AA-A71F-6DE08E65BB11}">
  <ds:schemaRefs>
    <ds:schemaRef ds:uri="http://schemas.microsoft.com/office/infopath/2007/PartnerControls"/>
    <ds:schemaRef ds:uri="http://purl.org/dc/terms/"/>
    <ds:schemaRef ds:uri="http://purl.org/dc/dcmitype/"/>
    <ds:schemaRef ds:uri="http://purl.org/dc/elements/1.1/"/>
    <ds:schemaRef ds:uri="97232348-304c-4ff8-affc-b0d6bfd913f5"/>
    <ds:schemaRef ds:uri="http://schemas.microsoft.com/office/2006/documentManagement/types"/>
    <ds:schemaRef ds:uri="http://schemas.openxmlformats.org/package/2006/metadata/core-properties"/>
    <ds:schemaRef ds:uri="32844186-265b-4793-912a-671da4ac73b2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F3AC744-6777-40A7-82C0-7F6F95B8AE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3D75DC-307B-4FF7-8723-BBB132FC15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844186-265b-4793-912a-671da4ac73b2"/>
    <ds:schemaRef ds:uri="97232348-304c-4ff8-affc-b0d6bfd913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2025</vt:lpstr>
    </vt:vector>
  </TitlesOfParts>
  <Manager/>
  <Company>Bovespa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CBariquelli</dc:creator>
  <cp:keywords/>
  <dc:description/>
  <cp:lastModifiedBy>CAIO ACAYABA FURTADO .</cp:lastModifiedBy>
  <cp:revision/>
  <dcterms:created xsi:type="dcterms:W3CDTF">2009-01-29T12:43:36Z</dcterms:created>
  <dcterms:modified xsi:type="dcterms:W3CDTF">2025-04-16T00:48:50Z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0x01010080A269BF505ACD4B84A4678488096051</vt:lpwstr>
  </property>
  <property fmtid="{D5CDD505-2E9C-101B-9397-08002B2CF9AE}" pid="4" name="MediaServiceImageTags">
    <vt:lpwstr/>
  </property>
</Properties>
</file>