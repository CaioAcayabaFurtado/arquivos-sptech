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https://bandteccom.sharepoint.com/sites/SPTSE/Socioemocional/Ciclo 2024.1/_01Aulas/_SIS E CCO/1o ano/1o semestre/material de apoio/"/>
    </mc:Choice>
  </mc:AlternateContent>
  <xr:revisionPtr revIDLastSave="250" documentId="8_{B8EDA877-40B2-B14A-A3B7-1C3E847588AA}" xr6:coauthVersionLast="47" xr6:coauthVersionMax="47" xr10:uidLastSave="{57218B44-AB68-4CE7-8791-760921899784}"/>
  <bookViews>
    <workbookView xWindow="-120" yWindow="-120" windowWidth="12240" windowHeight="8640" xr2:uid="{FAC1E4BD-9C33-4245-B1C6-31B46969BBFD}"/>
  </bookViews>
  <sheets>
    <sheet name="Sheet1" sheetId="1" r:id="rId1"/>
    <sheet name="Sheet4" sheetId="4" r:id="rId2"/>
  </sheets>
  <calcPr calcId="191028"/>
  <pivotCaches>
    <pivotCache cacheId="71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7" i="1"/>
  <c r="G16" i="1"/>
  <c r="G15" i="1"/>
  <c r="G18" i="1"/>
  <c r="G14" i="1"/>
  <c r="G13" i="1"/>
  <c r="G12" i="1"/>
  <c r="G11" i="1"/>
  <c r="G10" i="1"/>
  <c r="G9" i="1"/>
  <c r="G8" i="1"/>
  <c r="G7" i="1"/>
  <c r="G6" i="1"/>
  <c r="G5" i="1"/>
  <c r="G4" i="1"/>
  <c r="D17" i="1"/>
  <c r="D16" i="1"/>
  <c r="D15" i="1"/>
  <c r="D14" i="1"/>
  <c r="D13" i="1"/>
  <c r="D12" i="1"/>
  <c r="D11" i="1"/>
  <c r="D9" i="1"/>
  <c r="D8" i="1"/>
  <c r="D7" i="1"/>
  <c r="D4" i="1"/>
  <c r="D6" i="1"/>
  <c r="D5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4" i="1"/>
</calcChain>
</file>

<file path=xl/sharedStrings.xml><?xml version="1.0" encoding="utf-8"?>
<sst xmlns="http://schemas.openxmlformats.org/spreadsheetml/2006/main" count="42" uniqueCount="42">
  <si>
    <t>Caio Acayaba Furtado</t>
  </si>
  <si>
    <t>Registro de estudo (Março)</t>
  </si>
  <si>
    <t>ROTINA</t>
  </si>
  <si>
    <t>Dia</t>
  </si>
  <si>
    <t>Dia da Semana</t>
  </si>
  <si>
    <t>Horas estudadas</t>
  </si>
  <si>
    <t>Horas acumuladas</t>
  </si>
  <si>
    <t>Exercícios Realizados (qtd)</t>
  </si>
  <si>
    <t>Exercícios Realizados (%)</t>
  </si>
  <si>
    <t>Exercícios Acumulados</t>
  </si>
  <si>
    <t>Acertos (%)</t>
  </si>
  <si>
    <t>Resumos realizados (linhas)</t>
  </si>
  <si>
    <t>Trabalho realizado (sim/ não/ não se aplica)</t>
  </si>
  <si>
    <t>Column1</t>
  </si>
  <si>
    <t>Column2</t>
  </si>
  <si>
    <t>Column3</t>
  </si>
  <si>
    <t>7:30 - 8:00</t>
  </si>
  <si>
    <t>8:00 - 8:40</t>
  </si>
  <si>
    <t>8:40 - 9:00</t>
  </si>
  <si>
    <t>9:00 - 9:30</t>
  </si>
  <si>
    <t>9:30 - 15:45</t>
  </si>
  <si>
    <t>15:45 - 16:15</t>
  </si>
  <si>
    <t>16:15 - 17:00</t>
  </si>
  <si>
    <t xml:space="preserve">17:00 - 18:30 </t>
  </si>
  <si>
    <t>18:30 - 19:00</t>
  </si>
  <si>
    <t>19:00 - 20:30</t>
  </si>
  <si>
    <t>20:30 - 21:20</t>
  </si>
  <si>
    <t>21:20 - 22:00</t>
  </si>
  <si>
    <t>22:00 - 22:40</t>
  </si>
  <si>
    <t>22:40 - 23:10</t>
  </si>
  <si>
    <t>23:10 - 7:30</t>
  </si>
  <si>
    <t>Row Labels</t>
  </si>
  <si>
    <t>Sum of Exercícios Realizados (qtd)</t>
  </si>
  <si>
    <t>Sunday</t>
  </si>
  <si>
    <t>Monday</t>
  </si>
  <si>
    <t>Tuesday</t>
  </si>
  <si>
    <t>Wednesday</t>
  </si>
  <si>
    <t>Thursday</t>
  </si>
  <si>
    <t>Friday</t>
  </si>
  <si>
    <t>Saturday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</si>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</sst>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1"/>
      <name val="Aptos Narrow"/>
      <scheme val="minor"/>
    </font>
    <font>
      <sz val="8"/>
      <name val="Aptos Narrow"/>
      <family val="2"/>
      <scheme val="minor"/>
    </font>
    <font>
      <b/>
      <sz val="2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/>
    <xf numFmtId="20" fontId="0" fillId="0" borderId="0" xfId="0" applyNumberFormat="1" applyAlignment="1">
      <alignment wrapText="1"/>
    </xf>
    <xf numFmtId="20" fontId="0" fillId="0" borderId="0" xfId="0" applyNumberFormat="1"/>
  </cellXfs>
  <cellStyles count="2">
    <cellStyle name="Normal" xfId="0" builtinId="0"/>
    <cellStyle name="Porcentagem" xfId="1" builtinId="5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Acumuladas de Estudos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90703581407156E-2"/>
          <c:y val="0.15389396709323583"/>
          <c:w val="0.8965732283464567"/>
          <c:h val="0.70633174509493446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Sheet1!$A$4:$A$32</c:f>
              <c:numCache>
                <c:formatCode>m/d/yyyy</c:formatCode>
                <c:ptCount val="29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</c:numCache>
            </c:numRef>
          </c:cat>
          <c:val>
            <c:numRef>
              <c:f>Sheet1!$D$4:$D$32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B-3847-A664-991F006D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63375"/>
        <c:axId val="1987803743"/>
      </c:areaChart>
      <c:dateAx>
        <c:axId val="198776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03743"/>
        <c:crosses val="autoZero"/>
        <c:auto val="1"/>
        <c:lblOffset val="100"/>
        <c:baseTimeUnit val="days"/>
      </c:dateAx>
      <c:valAx>
        <c:axId val="19878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6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Dias da Semana.</a:t>
            </a:r>
          </a:p>
        </c:rich>
      </c:tx>
      <c:layout>
        <c:manualLayout>
          <c:xMode val="edge"/>
          <c:yMode val="edge"/>
          <c:x val="0.2627290026246719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Sheet1!$B$4:$B$32</c:f>
              <c:strCache>
                <c:ptCount val="29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  <c:pt idx="14">
                  <c:v>Monday</c:v>
                </c:pt>
                <c:pt idx="15">
                  <c:v>Tuesday</c:v>
                </c:pt>
                <c:pt idx="16">
                  <c:v>Wednesday</c:v>
                </c:pt>
                <c:pt idx="17">
                  <c:v>Thursday</c:v>
                </c:pt>
                <c:pt idx="18">
                  <c:v>Friday</c:v>
                </c:pt>
                <c:pt idx="19">
                  <c:v>Saturday</c:v>
                </c:pt>
                <c:pt idx="20">
                  <c:v>Sunday</c:v>
                </c:pt>
                <c:pt idx="21">
                  <c:v>Monday</c:v>
                </c:pt>
                <c:pt idx="22">
                  <c:v>Tuesday</c:v>
                </c:pt>
                <c:pt idx="23">
                  <c:v>Wednesday</c:v>
                </c:pt>
                <c:pt idx="24">
                  <c:v>Thursday</c:v>
                </c:pt>
                <c:pt idx="25">
                  <c:v>Friday</c:v>
                </c:pt>
                <c:pt idx="26">
                  <c:v>Saturday</c:v>
                </c:pt>
                <c:pt idx="27">
                  <c:v>Sunday</c:v>
                </c:pt>
                <c:pt idx="28">
                  <c:v>Monday</c:v>
                </c:pt>
              </c:strCache>
            </c:strRef>
          </c:cat>
          <c:val>
            <c:numRef>
              <c:f>Sheet1!$C$4:$C$32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3-6F45-ADE8-7B33B5AE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96559"/>
        <c:axId val="374843312"/>
      </c:areaChart>
      <c:catAx>
        <c:axId val="198779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43312"/>
        <c:crosses val="autoZero"/>
        <c:auto val="1"/>
        <c:lblAlgn val="ctr"/>
        <c:lblOffset val="100"/>
        <c:noMultiLvlLbl val="0"/>
      </c:catAx>
      <c:valAx>
        <c:axId val="3748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9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 de métrica de estudos 2.xlsx]Sheet4!PivotTable3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 de Estudos X</a:t>
            </a:r>
            <a:r>
              <a:rPr lang="en-US" baseline="0"/>
              <a:t> dia da Semana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Sheet4!$A$4:$A$12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(vazio)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18</c:v>
                </c:pt>
                <c:pt idx="1">
                  <c:v>29</c:v>
                </c:pt>
                <c:pt idx="2">
                  <c:v>9</c:v>
                </c:pt>
                <c:pt idx="3">
                  <c:v>21</c:v>
                </c:pt>
                <c:pt idx="4">
                  <c:v>18</c:v>
                </c:pt>
                <c:pt idx="5">
                  <c:v>20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1-5B4B-8852-7991D62C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337664"/>
        <c:axId val="422339376"/>
      </c:barChart>
      <c:catAx>
        <c:axId val="42233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39376"/>
        <c:crosses val="autoZero"/>
        <c:auto val="1"/>
        <c:lblAlgn val="ctr"/>
        <c:lblOffset val="100"/>
        <c:noMultiLvlLbl val="0"/>
      </c:catAx>
      <c:valAx>
        <c:axId val="4223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3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1774825</xdr:colOff>
      <xdr:row>35</xdr:row>
      <xdr:rowOff>196850</xdr:rowOff>
    </xdr:from>
    <xdr:to>
      <xdr:col>13</xdr:col>
      <xdr:colOff>9525</xdr:colOff>
      <xdr:row>56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C8C41-3466-D5F8-D8CA-DC7145CB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35</xdr:row>
      <xdr:rowOff>190500</xdr:rowOff>
    </xdr:from>
    <xdr:to>
      <xdr:col>5</xdr:col>
      <xdr:colOff>1838325</xdr:colOff>
      <xdr:row>56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4F6FB8-18E5-54B2-CB3A-C7E3B22C3493}"/>
            </a:ext>
            <a:ext uri="{147F2762-F138-4A5C-976F-8EAC2B608ADB}">
              <a16:predDERef xmlns:a16="http://schemas.microsoft.com/office/drawing/2014/main" pred="{936C8C41-3466-D5F8-D8CA-DC7145CB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235585</xdr:colOff>
      <xdr:row>38</xdr:row>
      <xdr:rowOff>164465</xdr:rowOff>
    </xdr:from>
    <xdr:to>
      <xdr:col>13</xdr:col>
      <xdr:colOff>715645</xdr:colOff>
      <xdr:row>52</xdr:row>
      <xdr:rowOff>74930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692573-4ABD-A35A-5963-9C2863085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41935" y="8270240"/>
          <a:ext cx="4728210" cy="27108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129540</xdr:rowOff>
    </xdr:from>
    <xdr:to>
      <xdr:col>8</xdr:col>
      <xdr:colOff>514350</xdr:colOff>
      <xdr:row>15</xdr:row>
      <xdr:rowOff>36830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B3102-BE16-AA6C-AAA9-B4C97529F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Josua" refreshedDate="45376.504087152774" createdVersion="8" refreshedVersion="8" minRefreshableVersion="3" recordCount="32" xr:uid="{83166587-072A-3248-A726-34DE4BAAE0EF}">
  <cacheSource type="worksheet">
    <worksheetSource name="Table2"/>
  </cacheSource>
  <cacheFields count="10">
    <cacheField name="Dia" numFmtId="0">
      <sharedItems containsNonDate="0" containsDate="1" containsString="0" containsBlank="1" minDate="2024-04-01T00:00:00" maxDate="2024-04-30T00:00:00"/>
    </cacheField>
    <cacheField name="Dia da Semana" numFmtId="0">
      <sharedItems containsBlank="1" count="8">
        <s v="Monday"/>
        <s v="Tuesday"/>
        <s v="Wednesday"/>
        <s v="Thursday"/>
        <s v="Friday"/>
        <s v="Saturday"/>
        <s v="Sunday"/>
        <m/>
      </sharedItems>
    </cacheField>
    <cacheField name="Horas estudadas" numFmtId="0">
      <sharedItems containsString="0" containsBlank="1" containsNumber="1" containsInteger="1" minValue="0" maxValue="9"/>
    </cacheField>
    <cacheField name="Horas acumuladas" numFmtId="0">
      <sharedItems containsString="0" containsBlank="1" containsNumber="1" containsInteger="1" minValue="1" maxValue="54"/>
    </cacheField>
    <cacheField name="Exercícios Realizados (qtd)" numFmtId="0">
      <sharedItems containsString="0" containsBlank="1" containsNumber="1" containsInteger="1" minValue="1" maxValue="15"/>
    </cacheField>
    <cacheField name="Exercícios Realizados (%)" numFmtId="0">
      <sharedItems containsString="0" containsBlank="1" containsNumber="1" minValue="0.1" maxValue="1"/>
    </cacheField>
    <cacheField name="Exercícios Acumulados" numFmtId="0">
      <sharedItems containsString="0" containsBlank="1" containsNumber="1" containsInteger="1" minValue="1" maxValue="134"/>
    </cacheField>
    <cacheField name="Acertos (%)" numFmtId="9">
      <sharedItems containsString="0" containsBlank="1" containsNumber="1" minValue="0.06" maxValue="1"/>
    </cacheField>
    <cacheField name="Resumos realizados (linhas)" numFmtId="0">
      <sharedItems containsNonDate="0" containsString="0" containsBlank="1"/>
    </cacheField>
    <cacheField name="Trabalho realizado (sim/ não/ não se aplica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24-04-01T00:00:00"/>
    <x v="0"/>
    <n v="1"/>
    <n v="1"/>
    <n v="1"/>
    <n v="0.1"/>
    <n v="1"/>
    <n v="1"/>
    <m/>
    <n v="0"/>
  </r>
  <r>
    <d v="2024-04-02T00:00:00"/>
    <x v="1"/>
    <n v="3"/>
    <n v="5"/>
    <n v="2"/>
    <n v="0.2"/>
    <n v="3"/>
    <n v="0.5"/>
    <m/>
    <n v="1"/>
  </r>
  <r>
    <d v="2024-04-03T00:00:00"/>
    <x v="2"/>
    <n v="2"/>
    <n v="6"/>
    <n v="3"/>
    <n v="0.4"/>
    <n v="6"/>
    <n v="0.06"/>
    <m/>
    <n v="1"/>
  </r>
  <r>
    <d v="2024-04-04T00:00:00"/>
    <x v="3"/>
    <n v="1"/>
    <n v="7"/>
    <n v="1"/>
    <n v="0.5"/>
    <n v="7"/>
    <n v="0.15"/>
    <m/>
    <n v="1"/>
  </r>
  <r>
    <d v="2024-04-05T00:00:00"/>
    <x v="4"/>
    <n v="2"/>
    <n v="9"/>
    <n v="1"/>
    <n v="0.35"/>
    <n v="8"/>
    <n v="0.75"/>
    <m/>
    <n v="1"/>
  </r>
  <r>
    <d v="2024-04-06T00:00:00"/>
    <x v="5"/>
    <n v="3"/>
    <n v="12"/>
    <n v="1"/>
    <n v="0.4"/>
    <n v="9"/>
    <n v="0.45"/>
    <m/>
    <n v="1"/>
  </r>
  <r>
    <d v="2024-04-07T00:00:00"/>
    <x v="6"/>
    <n v="4"/>
    <n v="10"/>
    <n v="1"/>
    <n v="0.6"/>
    <n v="10"/>
    <n v="0.9"/>
    <m/>
    <n v="1"/>
  </r>
  <r>
    <d v="2024-04-08T00:00:00"/>
    <x v="0"/>
    <n v="3"/>
    <n v="19"/>
    <n v="1"/>
    <n v="1"/>
    <n v="11"/>
    <n v="1"/>
    <m/>
    <n v="1"/>
  </r>
  <r>
    <d v="2024-04-09T00:00:00"/>
    <x v="1"/>
    <n v="0"/>
    <n v="19"/>
    <n v="1"/>
    <n v="0.9"/>
    <n v="12"/>
    <n v="0.15"/>
    <m/>
    <n v="0"/>
  </r>
  <r>
    <d v="2024-04-10T00:00:00"/>
    <x v="2"/>
    <n v="0"/>
    <n v="19"/>
    <n v="1"/>
    <n v="0.1"/>
    <n v="13"/>
    <n v="0.3"/>
    <m/>
    <n v="0"/>
  </r>
  <r>
    <d v="2024-04-11T00:00:00"/>
    <x v="3"/>
    <n v="0"/>
    <n v="19"/>
    <n v="1"/>
    <n v="0.2"/>
    <n v="14"/>
    <n v="0.2"/>
    <m/>
    <n v="0"/>
  </r>
  <r>
    <d v="2024-04-12T00:00:00"/>
    <x v="4"/>
    <n v="2"/>
    <n v="21"/>
    <n v="4"/>
    <n v="0.4"/>
    <n v="18"/>
    <n v="0.4"/>
    <m/>
    <n v="0"/>
  </r>
  <r>
    <d v="2024-04-13T00:00:00"/>
    <x v="5"/>
    <n v="2"/>
    <n v="23"/>
    <n v="6"/>
    <n v="0.5"/>
    <n v="24"/>
    <n v="0.5"/>
    <m/>
    <n v="0"/>
  </r>
  <r>
    <d v="2024-04-14T00:00:00"/>
    <x v="6"/>
    <n v="1"/>
    <n v="24"/>
    <n v="7"/>
    <n v="0.35"/>
    <n v="31"/>
    <n v="0.6"/>
    <m/>
    <n v="0"/>
  </r>
  <r>
    <d v="2024-04-15T00:00:00"/>
    <x v="0"/>
    <n v="9"/>
    <n v="33"/>
    <n v="15"/>
    <n v="0.4"/>
    <n v="39"/>
    <n v="0.15"/>
    <m/>
    <n v="0"/>
  </r>
  <r>
    <d v="2024-04-16T00:00:00"/>
    <x v="1"/>
    <n v="2"/>
    <n v="35"/>
    <n v="1"/>
    <n v="0.6"/>
    <n v="47"/>
    <n v="1"/>
    <m/>
    <n v="0"/>
  </r>
  <r>
    <d v="2024-04-17T00:00:00"/>
    <x v="2"/>
    <n v="2"/>
    <n v="37"/>
    <n v="12"/>
    <n v="1"/>
    <n v="59"/>
    <n v="0.5"/>
    <m/>
    <n v="0"/>
  </r>
  <r>
    <d v="2024-04-18T00:00:00"/>
    <x v="3"/>
    <n v="1"/>
    <n v="38"/>
    <n v="13"/>
    <n v="0.9"/>
    <n v="72"/>
    <n v="0.06"/>
    <m/>
    <n v="0"/>
  </r>
  <r>
    <d v="2024-04-19T00:00:00"/>
    <x v="4"/>
    <n v="2"/>
    <n v="40"/>
    <n v="12"/>
    <n v="0.1"/>
    <n v="84"/>
    <n v="0.15"/>
    <m/>
    <n v="1"/>
  </r>
  <r>
    <d v="2024-04-20T00:00:00"/>
    <x v="5"/>
    <n v="2"/>
    <n v="42"/>
    <n v="9"/>
    <n v="0.2"/>
    <n v="93"/>
    <n v="0.75"/>
    <m/>
    <n v="1"/>
  </r>
  <r>
    <d v="2024-04-21T00:00:00"/>
    <x v="6"/>
    <n v="2"/>
    <n v="44"/>
    <n v="5"/>
    <n v="0.4"/>
    <n v="98"/>
    <n v="0.45"/>
    <m/>
    <n v="1"/>
  </r>
  <r>
    <d v="2024-04-22T00:00:00"/>
    <x v="0"/>
    <n v="1"/>
    <n v="45"/>
    <n v="5"/>
    <n v="0.5"/>
    <n v="103"/>
    <n v="0.9"/>
    <m/>
    <n v="1"/>
  </r>
  <r>
    <d v="2024-04-23T00:00:00"/>
    <x v="1"/>
    <n v="1"/>
    <n v="46"/>
    <n v="5"/>
    <n v="0.35"/>
    <n v="108"/>
    <n v="1"/>
    <m/>
    <n v="1"/>
  </r>
  <r>
    <d v="2024-04-24T00:00:00"/>
    <x v="2"/>
    <n v="1"/>
    <n v="47"/>
    <n v="5"/>
    <n v="0.4"/>
    <n v="113"/>
    <n v="0.15"/>
    <m/>
    <n v="1"/>
  </r>
  <r>
    <d v="2024-04-25T00:00:00"/>
    <x v="3"/>
    <n v="1"/>
    <n v="48"/>
    <n v="3"/>
    <n v="0.6"/>
    <n v="116"/>
    <n v="0.3"/>
    <m/>
    <n v="1"/>
  </r>
  <r>
    <d v="2024-04-26T00:00:00"/>
    <x v="4"/>
    <n v="1"/>
    <n v="49"/>
    <n v="3"/>
    <n v="1"/>
    <n v="119"/>
    <n v="0.2"/>
    <m/>
    <n v="1"/>
  </r>
  <r>
    <d v="2024-04-27T00:00:00"/>
    <x v="5"/>
    <n v="1"/>
    <n v="50"/>
    <n v="3"/>
    <n v="0.9"/>
    <n v="122"/>
    <n v="0.4"/>
    <m/>
    <n v="0"/>
  </r>
  <r>
    <d v="2024-04-28T00:00:00"/>
    <x v="6"/>
    <n v="1"/>
    <n v="51"/>
    <n v="5"/>
    <n v="0.35"/>
    <n v="127"/>
    <n v="0.5"/>
    <m/>
    <n v="0"/>
  </r>
  <r>
    <d v="2024-04-29T00:00:00"/>
    <x v="0"/>
    <n v="3"/>
    <n v="54"/>
    <n v="7"/>
    <n v="0.45"/>
    <n v="134"/>
    <n v="0.6"/>
    <m/>
    <n v="0"/>
  </r>
  <r>
    <m/>
    <x v="7"/>
    <m/>
    <m/>
    <m/>
    <m/>
    <m/>
    <m/>
    <m/>
    <m/>
  </r>
  <r>
    <m/>
    <x v="7"/>
    <m/>
    <m/>
    <m/>
    <m/>
    <m/>
    <m/>
    <m/>
    <m/>
  </r>
  <r>
    <m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7D8A6-5E2A-B943-907D-FD259EE2C20A}" name="PivotTable3" cacheId="7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0">
    <pivotField showAll="0"/>
    <pivotField axis="axisRow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Exercícios Realizados (qtd)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EF2CA-07CE-684E-9830-D8EDF94883BF}" name="Table2" displayName="Table2" ref="A3:M35" totalsRowShown="0" headerRowDxfId="0">
  <autoFilter ref="A3:M35" xr:uid="{36AEF2CA-07CE-684E-9830-D8EDF94883BF}"/>
  <tableColumns count="13">
    <tableColumn id="1" xr3:uid="{A7A595D6-74E0-E745-A1C7-A55195D1577C}" name="Dia"/>
    <tableColumn id="2" xr3:uid="{88FAF514-6B70-3A4B-8614-8ECCEE6BDF5E}" name="Dia da Semana"/>
    <tableColumn id="3" xr3:uid="{42B9A087-B2FF-5840-8998-58CA3620E93D}" name="Horas estudadas"/>
    <tableColumn id="11" xr3:uid="{2F32FA52-92F5-D240-BC8E-D5539C6A60EF}" name="Horas acumuladas"/>
    <tableColumn id="4" xr3:uid="{E7B629C1-3B1A-334D-BB10-AB5BC14EE4D1}" name="Exercícios Realizados (qtd)"/>
    <tableColumn id="5" xr3:uid="{E6D54453-6955-9440-884D-29E1D1E3563E}" name="Exercícios Realizados (%)"/>
    <tableColumn id="12" xr3:uid="{CC8401E9-9F1A-FA49-B9FB-A1812DFAB152}" name="Exercícios Acumulados"/>
    <tableColumn id="6" xr3:uid="{8E6F95AC-F094-B945-A393-A43C3CD2F27E}" name="Acertos (%)"/>
    <tableColumn id="7" xr3:uid="{C5606AAE-4030-2946-A301-AF05CF0CA1F4}" name="Resumos realizados (linhas)"/>
    <tableColumn id="8" xr3:uid="{8F998FE9-5FDF-834C-883F-FF086AA8AF36}" name="Trabalho realizado (sim/ não/ não se aplica)"/>
    <tableColumn id="13" xr3:uid="{6A10F43F-5BF5-C043-BD54-AD9BA7E9DEA8}" name="Column1"/>
    <tableColumn id="14" xr3:uid="{7BB58698-3C60-AD44-AED9-DBD33491E0B9}" name="Column2"/>
    <tableColumn id="15" xr3:uid="{A9C2D8ED-66C0-FF46-A045-FFAC1A19DC65}" name="Column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6F6E-EEB4-9142-8FAF-378C5ED00D79}">
  <dimension ref="A1:O33"/>
  <sheetViews>
    <sheetView tabSelected="1" topLeftCell="R2" zoomScale="115" zoomScaleNormal="115" workbookViewId="0">
      <selection activeCell="R2" sqref="R2"/>
    </sheetView>
  </sheetViews>
  <sheetFormatPr defaultColWidth="11.25" defaultRowHeight="15.75"/>
  <cols>
    <col min="2" max="2" width="15.5" customWidth="1"/>
    <col min="3" max="4" width="17" customWidth="1"/>
    <col min="5" max="5" width="25.25" customWidth="1"/>
    <col min="6" max="7" width="24.25" customWidth="1"/>
    <col min="8" max="8" width="12.75" style="2" customWidth="1"/>
    <col min="9" max="9" width="19.5" customWidth="1"/>
    <col min="10" max="10" width="22" customWidth="1"/>
    <col min="15" max="15" width="13.625" customWidth="1"/>
    <col min="16" max="16" width="19" customWidth="1"/>
    <col min="17" max="17" width="21" customWidth="1"/>
    <col min="18" max="18" width="19.625" customWidth="1"/>
    <col min="19" max="19" width="18.75" customWidth="1"/>
    <col min="20" max="20" width="22.75" customWidth="1"/>
    <col min="21" max="21" width="23.25" customWidth="1"/>
    <col min="22" max="22" width="25.625" customWidth="1"/>
  </cols>
  <sheetData>
    <row r="1" spans="1:15" ht="26.25">
      <c r="A1" s="8" t="s">
        <v>0</v>
      </c>
      <c r="B1" s="8"/>
      <c r="C1" s="8"/>
      <c r="D1" s="8"/>
    </row>
    <row r="2" spans="1:15" ht="30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10" t="s">
        <v>2</v>
      </c>
    </row>
    <row r="3" spans="1:15" s="3" customFormat="1" ht="30.75">
      <c r="A3" s="3" t="s">
        <v>3</v>
      </c>
      <c r="B3" s="7" t="s">
        <v>4</v>
      </c>
      <c r="C3" s="3" t="s">
        <v>5</v>
      </c>
      <c r="D3" s="7" t="s">
        <v>6</v>
      </c>
      <c r="E3" s="3" t="s">
        <v>7</v>
      </c>
      <c r="F3" s="3" t="s">
        <v>8</v>
      </c>
      <c r="G3" s="7" t="s">
        <v>9</v>
      </c>
      <c r="H3" s="4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O3" s="11" t="s">
        <v>16</v>
      </c>
    </row>
    <row r="4" spans="1:15">
      <c r="A4" s="1">
        <v>45383</v>
      </c>
      <c r="B4" s="1" t="str">
        <f>TEXT(A4, "dddd")</f>
        <v>Monday</v>
      </c>
      <c r="C4">
        <v>1</v>
      </c>
      <c r="D4">
        <f>SUM(Table2[[#This Row],[Horas estudadas]])</f>
        <v>1</v>
      </c>
      <c r="E4">
        <v>0</v>
      </c>
      <c r="F4" s="2">
        <v>0</v>
      </c>
      <c r="G4">
        <f>SUM(Table2[[#This Row],[Exercícios Realizados (qtd)]])</f>
        <v>0</v>
      </c>
      <c r="H4" s="2">
        <v>1</v>
      </c>
      <c r="I4">
        <v>0</v>
      </c>
      <c r="J4">
        <v>1</v>
      </c>
      <c r="O4" s="12" t="s">
        <v>17</v>
      </c>
    </row>
    <row r="5" spans="1:15">
      <c r="A5" s="1">
        <v>45384</v>
      </c>
      <c r="B5" s="1" t="str">
        <f t="shared" ref="B5:B32" si="0">TEXT(A5, "dddd")</f>
        <v>Tuesday</v>
      </c>
      <c r="C5">
        <v>1</v>
      </c>
      <c r="D5">
        <f>SUM(C5:C6)</f>
        <v>1</v>
      </c>
      <c r="E5">
        <v>0</v>
      </c>
      <c r="F5" s="2">
        <v>0</v>
      </c>
      <c r="G5">
        <f>SUM(E4:E5)</f>
        <v>0</v>
      </c>
      <c r="H5" s="2">
        <v>0.7</v>
      </c>
      <c r="I5">
        <v>0</v>
      </c>
      <c r="J5">
        <v>1</v>
      </c>
      <c r="O5" s="12" t="s">
        <v>18</v>
      </c>
    </row>
    <row r="6" spans="1:15">
      <c r="A6" s="1">
        <v>45385</v>
      </c>
      <c r="B6" s="1" t="str">
        <f t="shared" si="0"/>
        <v>Wednesday</v>
      </c>
      <c r="C6">
        <v>0</v>
      </c>
      <c r="D6">
        <f>SUM(C4:C6)</f>
        <v>2</v>
      </c>
      <c r="E6">
        <v>0</v>
      </c>
      <c r="F6" s="2">
        <v>0</v>
      </c>
      <c r="G6">
        <f>SUM(E4:E6)</f>
        <v>0</v>
      </c>
      <c r="H6" s="2">
        <v>0</v>
      </c>
      <c r="I6">
        <v>0</v>
      </c>
      <c r="J6">
        <v>0</v>
      </c>
      <c r="O6" s="12" t="s">
        <v>19</v>
      </c>
    </row>
    <row r="7" spans="1:15">
      <c r="A7" s="1">
        <v>45386</v>
      </c>
      <c r="B7" s="1" t="str">
        <f t="shared" si="0"/>
        <v>Thursday</v>
      </c>
      <c r="C7">
        <v>0</v>
      </c>
      <c r="D7">
        <f>SUM(C4:C7)</f>
        <v>2</v>
      </c>
      <c r="E7">
        <v>0</v>
      </c>
      <c r="F7" s="2">
        <v>0</v>
      </c>
      <c r="G7">
        <f>SUM(E4:E7)</f>
        <v>0</v>
      </c>
      <c r="H7" s="2">
        <v>0</v>
      </c>
      <c r="I7">
        <v>0</v>
      </c>
      <c r="J7">
        <v>0</v>
      </c>
      <c r="O7" t="s">
        <v>20</v>
      </c>
    </row>
    <row r="8" spans="1:15">
      <c r="A8" s="1">
        <v>45387</v>
      </c>
      <c r="B8" s="1" t="str">
        <f t="shared" si="0"/>
        <v>Friday</v>
      </c>
      <c r="C8">
        <v>0</v>
      </c>
      <c r="D8">
        <f>SUM(C4:C8)</f>
        <v>2</v>
      </c>
      <c r="E8">
        <v>0</v>
      </c>
      <c r="F8" s="2">
        <v>0</v>
      </c>
      <c r="G8">
        <f>SUM(E4:E8)</f>
        <v>0</v>
      </c>
      <c r="H8" s="2">
        <v>0</v>
      </c>
      <c r="I8">
        <v>0</v>
      </c>
      <c r="J8">
        <v>0</v>
      </c>
      <c r="O8" s="12" t="s">
        <v>21</v>
      </c>
    </row>
    <row r="9" spans="1:15">
      <c r="A9" s="1">
        <v>45388</v>
      </c>
      <c r="B9" s="1" t="str">
        <f t="shared" si="0"/>
        <v>Saturday</v>
      </c>
      <c r="C9">
        <v>0</v>
      </c>
      <c r="D9">
        <f>SUM(C4:C9)</f>
        <v>2</v>
      </c>
      <c r="E9">
        <v>0</v>
      </c>
      <c r="F9" s="2">
        <v>0</v>
      </c>
      <c r="G9">
        <f>SUM(E4:E9)</f>
        <v>0</v>
      </c>
      <c r="H9" s="2">
        <v>0</v>
      </c>
      <c r="I9">
        <v>0</v>
      </c>
      <c r="J9">
        <v>0</v>
      </c>
      <c r="O9" t="s">
        <v>22</v>
      </c>
    </row>
    <row r="10" spans="1:15">
      <c r="A10" s="1">
        <v>45389</v>
      </c>
      <c r="B10" s="1" t="str">
        <f t="shared" si="0"/>
        <v>Sunday</v>
      </c>
      <c r="C10">
        <v>0</v>
      </c>
      <c r="D10">
        <f>SUM(C4:C10)</f>
        <v>2</v>
      </c>
      <c r="E10">
        <v>0</v>
      </c>
      <c r="F10" s="2">
        <v>0</v>
      </c>
      <c r="G10">
        <f>SUM(E4:E10)</f>
        <v>0</v>
      </c>
      <c r="H10" s="2">
        <v>0</v>
      </c>
      <c r="I10">
        <v>0</v>
      </c>
      <c r="J10">
        <v>0</v>
      </c>
      <c r="O10" t="s">
        <v>23</v>
      </c>
    </row>
    <row r="11" spans="1:15">
      <c r="A11" s="1">
        <v>45390</v>
      </c>
      <c r="B11" s="1" t="str">
        <f t="shared" si="0"/>
        <v>Monday</v>
      </c>
      <c r="C11">
        <v>0</v>
      </c>
      <c r="D11">
        <f>SUM(C4:C11)</f>
        <v>2</v>
      </c>
      <c r="E11">
        <v>0</v>
      </c>
      <c r="F11" s="2">
        <v>0</v>
      </c>
      <c r="G11">
        <f>SUM(E4:E11)</f>
        <v>0</v>
      </c>
      <c r="H11" s="2">
        <v>0</v>
      </c>
      <c r="I11">
        <v>0</v>
      </c>
      <c r="J11">
        <v>0</v>
      </c>
      <c r="O11" t="s">
        <v>24</v>
      </c>
    </row>
    <row r="12" spans="1:15">
      <c r="A12" s="1">
        <v>45391</v>
      </c>
      <c r="B12" s="1" t="str">
        <f t="shared" si="0"/>
        <v>Tuesday</v>
      </c>
      <c r="C12">
        <v>0</v>
      </c>
      <c r="D12">
        <f>SUM(C4:C12)</f>
        <v>2</v>
      </c>
      <c r="E12">
        <v>0</v>
      </c>
      <c r="F12" s="2">
        <v>0</v>
      </c>
      <c r="G12">
        <f>SUM(E4:E12)</f>
        <v>0</v>
      </c>
      <c r="H12" s="2">
        <v>0</v>
      </c>
      <c r="I12">
        <v>0</v>
      </c>
      <c r="J12">
        <v>0</v>
      </c>
      <c r="O12" t="s">
        <v>25</v>
      </c>
    </row>
    <row r="13" spans="1:15">
      <c r="A13" s="1">
        <v>45392</v>
      </c>
      <c r="B13" s="1" t="str">
        <f t="shared" si="0"/>
        <v>Wednesday</v>
      </c>
      <c r="C13">
        <v>0</v>
      </c>
      <c r="D13">
        <f>SUM(C4:C13)</f>
        <v>2</v>
      </c>
      <c r="E13">
        <v>0</v>
      </c>
      <c r="F13" s="2">
        <v>0</v>
      </c>
      <c r="G13">
        <f>SUM(E4:E13)</f>
        <v>0</v>
      </c>
      <c r="H13" s="2">
        <v>0</v>
      </c>
      <c r="I13">
        <v>0</v>
      </c>
      <c r="J13">
        <v>0</v>
      </c>
      <c r="O13" t="s">
        <v>26</v>
      </c>
    </row>
    <row r="14" spans="1:15">
      <c r="A14" s="1">
        <v>45393</v>
      </c>
      <c r="B14" s="1" t="str">
        <f t="shared" si="0"/>
        <v>Thursday</v>
      </c>
      <c r="C14">
        <v>0</v>
      </c>
      <c r="D14">
        <f>SUM(C4:C14)</f>
        <v>2</v>
      </c>
      <c r="E14">
        <v>0</v>
      </c>
      <c r="F14" s="2">
        <v>0</v>
      </c>
      <c r="G14">
        <f>SUM(E4:E14)</f>
        <v>0</v>
      </c>
      <c r="H14" s="2">
        <v>0</v>
      </c>
      <c r="I14">
        <v>0</v>
      </c>
      <c r="J14">
        <v>0</v>
      </c>
      <c r="O14" t="s">
        <v>27</v>
      </c>
    </row>
    <row r="15" spans="1:15">
      <c r="A15" s="1">
        <v>45394</v>
      </c>
      <c r="B15" s="1" t="str">
        <f t="shared" si="0"/>
        <v>Friday</v>
      </c>
      <c r="C15">
        <v>0</v>
      </c>
      <c r="D15">
        <f>SUM(C4:C15)</f>
        <v>2</v>
      </c>
      <c r="E15">
        <v>0</v>
      </c>
      <c r="F15" s="2">
        <v>0</v>
      </c>
      <c r="G15">
        <f>SUM(E4:E15)</f>
        <v>0</v>
      </c>
      <c r="H15" s="2">
        <v>0</v>
      </c>
      <c r="I15">
        <v>0</v>
      </c>
      <c r="J15">
        <v>0</v>
      </c>
      <c r="O15" t="s">
        <v>28</v>
      </c>
    </row>
    <row r="16" spans="1:15">
      <c r="A16" s="1">
        <v>45395</v>
      </c>
      <c r="B16" s="1" t="str">
        <f t="shared" si="0"/>
        <v>Saturday</v>
      </c>
      <c r="C16">
        <v>0</v>
      </c>
      <c r="D16">
        <f>SUM(C4:C16)</f>
        <v>2</v>
      </c>
      <c r="E16">
        <v>0</v>
      </c>
      <c r="F16" s="2">
        <v>0</v>
      </c>
      <c r="G16">
        <f>SUM(E4:E16)</f>
        <v>0</v>
      </c>
      <c r="H16" s="2">
        <v>0</v>
      </c>
      <c r="I16">
        <v>0</v>
      </c>
      <c r="J16">
        <v>0</v>
      </c>
      <c r="O16" t="s">
        <v>29</v>
      </c>
    </row>
    <row r="17" spans="1:15">
      <c r="A17" s="1">
        <v>45396</v>
      </c>
      <c r="B17" s="1" t="str">
        <f t="shared" si="0"/>
        <v>Sunday</v>
      </c>
      <c r="C17">
        <v>0</v>
      </c>
      <c r="D17">
        <f>SUM(C4:C17)</f>
        <v>2</v>
      </c>
      <c r="E17">
        <v>0</v>
      </c>
      <c r="F17" s="2">
        <v>0</v>
      </c>
      <c r="G17">
        <f>SUM(E4:E17)</f>
        <v>0</v>
      </c>
      <c r="H17" s="2">
        <v>0</v>
      </c>
      <c r="I17">
        <v>0</v>
      </c>
      <c r="J17">
        <v>0</v>
      </c>
      <c r="O17" t="s">
        <v>30</v>
      </c>
    </row>
    <row r="18" spans="1:15">
      <c r="A18" s="1">
        <v>45397</v>
      </c>
      <c r="B18" s="1" t="str">
        <f t="shared" si="0"/>
        <v>Monday</v>
      </c>
      <c r="C18">
        <v>0</v>
      </c>
      <c r="D18">
        <f>SUM(C4:C18)</f>
        <v>2</v>
      </c>
      <c r="E18">
        <v>0</v>
      </c>
      <c r="F18" s="2">
        <v>0</v>
      </c>
      <c r="G18">
        <f t="shared" ref="G18" si="1">SUM(E8:E18)</f>
        <v>0</v>
      </c>
      <c r="H18" s="2">
        <v>0</v>
      </c>
      <c r="I18">
        <v>0</v>
      </c>
      <c r="J18">
        <v>0</v>
      </c>
    </row>
    <row r="19" spans="1:15">
      <c r="A19" s="1">
        <v>45398</v>
      </c>
      <c r="B19" s="1" t="str">
        <f t="shared" si="0"/>
        <v>Tuesday</v>
      </c>
      <c r="C19">
        <v>0</v>
      </c>
      <c r="D19">
        <f>SUM(C4:C19)</f>
        <v>2</v>
      </c>
      <c r="E19">
        <v>0</v>
      </c>
      <c r="F19" s="2">
        <v>0</v>
      </c>
      <c r="G19">
        <f>SUM(E4:E19)</f>
        <v>0</v>
      </c>
      <c r="H19" s="2">
        <v>0</v>
      </c>
      <c r="I19">
        <v>0</v>
      </c>
      <c r="J19">
        <v>0</v>
      </c>
    </row>
    <row r="20" spans="1:15">
      <c r="A20" s="1">
        <v>45399</v>
      </c>
      <c r="B20" s="1" t="str">
        <f t="shared" si="0"/>
        <v>Wednesday</v>
      </c>
      <c r="C20">
        <v>0</v>
      </c>
      <c r="D20">
        <f>SUM(C4:C20)</f>
        <v>2</v>
      </c>
      <c r="E20">
        <v>0</v>
      </c>
      <c r="F20" s="2">
        <v>0</v>
      </c>
      <c r="G20">
        <f>SUM(E4:E20)</f>
        <v>0</v>
      </c>
      <c r="H20" s="2">
        <v>0</v>
      </c>
      <c r="I20">
        <v>0</v>
      </c>
      <c r="J20">
        <v>0</v>
      </c>
    </row>
    <row r="21" spans="1:15">
      <c r="A21" s="1">
        <v>45400</v>
      </c>
      <c r="B21" s="1" t="str">
        <f t="shared" si="0"/>
        <v>Thursday</v>
      </c>
      <c r="C21">
        <v>0</v>
      </c>
      <c r="D21">
        <f>SUM(C4:C21)</f>
        <v>2</v>
      </c>
      <c r="E21">
        <v>0</v>
      </c>
      <c r="F21" s="2">
        <v>0</v>
      </c>
      <c r="G21">
        <f>SUM(E4:E21)</f>
        <v>0</v>
      </c>
      <c r="H21" s="2">
        <v>0</v>
      </c>
      <c r="I21">
        <v>0</v>
      </c>
      <c r="J21">
        <v>0</v>
      </c>
    </row>
    <row r="22" spans="1:15">
      <c r="A22" s="1">
        <v>45401</v>
      </c>
      <c r="B22" s="1" t="str">
        <f t="shared" si="0"/>
        <v>Friday</v>
      </c>
      <c r="C22">
        <v>0</v>
      </c>
      <c r="D22">
        <f>SUM(C4:C22)</f>
        <v>2</v>
      </c>
      <c r="E22">
        <v>0</v>
      </c>
      <c r="F22" s="2">
        <v>0</v>
      </c>
      <c r="G22">
        <f>SUM(E4:E22)</f>
        <v>0</v>
      </c>
      <c r="H22" s="2">
        <v>0</v>
      </c>
      <c r="I22">
        <v>0</v>
      </c>
      <c r="J22">
        <v>0</v>
      </c>
    </row>
    <row r="23" spans="1:15">
      <c r="A23" s="1">
        <v>45402</v>
      </c>
      <c r="B23" s="1" t="str">
        <f t="shared" si="0"/>
        <v>Saturday</v>
      </c>
      <c r="C23">
        <v>0</v>
      </c>
      <c r="D23">
        <f>SUM(C4:C23)</f>
        <v>2</v>
      </c>
      <c r="E23">
        <v>0</v>
      </c>
      <c r="F23" s="2">
        <v>0</v>
      </c>
      <c r="G23">
        <f>SUM(E4:E23)</f>
        <v>0</v>
      </c>
      <c r="H23" s="2">
        <v>0</v>
      </c>
      <c r="I23">
        <v>0</v>
      </c>
      <c r="J23">
        <v>0</v>
      </c>
    </row>
    <row r="24" spans="1:15">
      <c r="A24" s="1">
        <v>45403</v>
      </c>
      <c r="B24" s="1" t="str">
        <f t="shared" si="0"/>
        <v>Sunday</v>
      </c>
      <c r="C24">
        <v>0</v>
      </c>
      <c r="D24">
        <f>SUM(C4:C24)</f>
        <v>2</v>
      </c>
      <c r="E24">
        <v>0</v>
      </c>
      <c r="F24" s="2">
        <v>0</v>
      </c>
      <c r="G24">
        <f>SUM(E4:E24)</f>
        <v>0</v>
      </c>
      <c r="H24" s="2">
        <v>0</v>
      </c>
      <c r="I24">
        <v>0</v>
      </c>
      <c r="J24">
        <v>0</v>
      </c>
    </row>
    <row r="25" spans="1:15">
      <c r="A25" s="1">
        <v>45404</v>
      </c>
      <c r="B25" s="1" t="str">
        <f t="shared" si="0"/>
        <v>Monday</v>
      </c>
      <c r="C25">
        <v>0</v>
      </c>
      <c r="D25">
        <f>SUM(C4:C25)</f>
        <v>2</v>
      </c>
      <c r="E25">
        <v>0</v>
      </c>
      <c r="F25" s="2">
        <v>0</v>
      </c>
      <c r="G25">
        <f>SUM(E4:E25)</f>
        <v>0</v>
      </c>
      <c r="H25" s="2">
        <v>0</v>
      </c>
      <c r="I25">
        <v>0</v>
      </c>
      <c r="J25">
        <v>0</v>
      </c>
    </row>
    <row r="26" spans="1:15">
      <c r="A26" s="1">
        <v>45405</v>
      </c>
      <c r="B26" s="1" t="str">
        <f t="shared" si="0"/>
        <v>Tuesday</v>
      </c>
      <c r="C26">
        <v>0</v>
      </c>
      <c r="D26">
        <f>SUM(C4:C26)</f>
        <v>2</v>
      </c>
      <c r="E26">
        <v>0</v>
      </c>
      <c r="F26" s="2">
        <v>0</v>
      </c>
      <c r="G26">
        <f>SUM(E4:E26)</f>
        <v>0</v>
      </c>
      <c r="H26" s="2">
        <v>0</v>
      </c>
      <c r="I26">
        <v>0</v>
      </c>
      <c r="J26">
        <v>0</v>
      </c>
    </row>
    <row r="27" spans="1:15">
      <c r="A27" s="1">
        <v>45406</v>
      </c>
      <c r="B27" s="1" t="str">
        <f t="shared" si="0"/>
        <v>Wednesday</v>
      </c>
      <c r="C27">
        <v>0</v>
      </c>
      <c r="D27">
        <f>SUM(C4:C27)</f>
        <v>2</v>
      </c>
      <c r="E27">
        <v>0</v>
      </c>
      <c r="F27" s="2">
        <v>0</v>
      </c>
      <c r="G27">
        <f>SUM(E4:E27)</f>
        <v>0</v>
      </c>
      <c r="H27" s="2">
        <v>0</v>
      </c>
      <c r="I27">
        <v>0</v>
      </c>
      <c r="J27">
        <v>0</v>
      </c>
    </row>
    <row r="28" spans="1:15">
      <c r="A28" s="1">
        <v>45407</v>
      </c>
      <c r="B28" s="1" t="str">
        <f t="shared" si="0"/>
        <v>Thursday</v>
      </c>
      <c r="C28">
        <v>0</v>
      </c>
      <c r="D28">
        <f>SUM(C4:C28)</f>
        <v>2</v>
      </c>
      <c r="E28">
        <v>0</v>
      </c>
      <c r="F28" s="2">
        <v>0</v>
      </c>
      <c r="G28">
        <f>SUM(E4:E28)</f>
        <v>0</v>
      </c>
      <c r="H28" s="2">
        <v>0</v>
      </c>
      <c r="I28">
        <v>0</v>
      </c>
      <c r="J28">
        <v>0</v>
      </c>
    </row>
    <row r="29" spans="1:15">
      <c r="A29" s="1">
        <v>45408</v>
      </c>
      <c r="B29" s="1" t="str">
        <f t="shared" si="0"/>
        <v>Friday</v>
      </c>
      <c r="C29">
        <v>0</v>
      </c>
      <c r="D29">
        <f>SUM(C4:C29)</f>
        <v>2</v>
      </c>
      <c r="E29">
        <v>0</v>
      </c>
      <c r="F29" s="2">
        <v>0</v>
      </c>
      <c r="G29">
        <f>SUM(E4:E29)</f>
        <v>0</v>
      </c>
      <c r="H29" s="2">
        <v>0</v>
      </c>
      <c r="I29">
        <v>0</v>
      </c>
      <c r="J29">
        <v>0</v>
      </c>
    </row>
    <row r="30" spans="1:15">
      <c r="A30" s="1">
        <v>45409</v>
      </c>
      <c r="B30" s="1" t="str">
        <f t="shared" si="0"/>
        <v>Saturday</v>
      </c>
      <c r="C30">
        <v>0</v>
      </c>
      <c r="D30">
        <f>SUM(C4:C30)</f>
        <v>2</v>
      </c>
      <c r="E30">
        <v>0</v>
      </c>
      <c r="F30" s="2">
        <v>0</v>
      </c>
      <c r="G30">
        <f>SUM(E4:E30)</f>
        <v>0</v>
      </c>
      <c r="H30" s="2">
        <v>0</v>
      </c>
      <c r="I30">
        <v>0</v>
      </c>
      <c r="J30">
        <v>0</v>
      </c>
    </row>
    <row r="31" spans="1:15">
      <c r="A31" s="1">
        <v>45410</v>
      </c>
      <c r="B31" s="1" t="str">
        <f t="shared" si="0"/>
        <v>Sunday</v>
      </c>
      <c r="C31">
        <v>0</v>
      </c>
      <c r="D31">
        <f>SUM(C4:C31)</f>
        <v>2</v>
      </c>
      <c r="E31">
        <v>0</v>
      </c>
      <c r="F31" s="2">
        <v>0</v>
      </c>
      <c r="G31">
        <f>SUM(E4:E31)</f>
        <v>0</v>
      </c>
      <c r="H31" s="2">
        <v>0</v>
      </c>
      <c r="I31">
        <v>0</v>
      </c>
      <c r="J31">
        <v>0</v>
      </c>
    </row>
    <row r="32" spans="1:15">
      <c r="A32" s="1">
        <v>45411</v>
      </c>
      <c r="B32" s="1" t="str">
        <f t="shared" si="0"/>
        <v>Monday</v>
      </c>
      <c r="C32">
        <v>0</v>
      </c>
      <c r="D32">
        <f>SUM(C4:C32)</f>
        <v>2</v>
      </c>
      <c r="E32">
        <v>0</v>
      </c>
      <c r="F32" s="2">
        <v>0</v>
      </c>
      <c r="G32">
        <f>SUM(E4:E32)</f>
        <v>0</v>
      </c>
      <c r="H32" s="2">
        <v>0</v>
      </c>
      <c r="I32">
        <v>0</v>
      </c>
      <c r="J32">
        <v>0</v>
      </c>
    </row>
    <row r="33" spans="6:6">
      <c r="F33">
        <v>0</v>
      </c>
    </row>
  </sheetData>
  <mergeCells count="2">
    <mergeCell ref="A1:D1"/>
    <mergeCell ref="A2:M2"/>
  </mergeCells>
  <phoneticPr fontId="4" type="noConversion"/>
  <conditionalFormatting sqref="H4:H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0AC9-F89E-3945-80F4-BEE91645A2CB}">
  <dimension ref="A3:B12"/>
  <sheetViews>
    <sheetView workbookViewId="0">
      <selection activeCell="E13" sqref="E13"/>
    </sheetView>
  </sheetViews>
  <sheetFormatPr defaultColWidth="11.25" defaultRowHeight="15.75"/>
  <cols>
    <col min="1" max="1" width="13" bestFit="1" customWidth="1"/>
    <col min="2" max="2" width="30" bestFit="1" customWidth="1"/>
  </cols>
  <sheetData>
    <row r="3" spans="1:2">
      <c r="A3" s="5" t="s">
        <v>31</v>
      </c>
      <c r="B3" t="s">
        <v>32</v>
      </c>
    </row>
    <row r="4" spans="1:2">
      <c r="A4" s="6" t="s">
        <v>33</v>
      </c>
      <c r="B4">
        <v>18</v>
      </c>
    </row>
    <row r="5" spans="1:2">
      <c r="A5" s="6" t="s">
        <v>34</v>
      </c>
      <c r="B5">
        <v>29</v>
      </c>
    </row>
    <row r="6" spans="1:2">
      <c r="A6" s="6" t="s">
        <v>35</v>
      </c>
      <c r="B6">
        <v>9</v>
      </c>
    </row>
    <row r="7" spans="1:2">
      <c r="A7" s="6" t="s">
        <v>36</v>
      </c>
      <c r="B7">
        <v>21</v>
      </c>
    </row>
    <row r="8" spans="1:2">
      <c r="A8" s="6" t="s">
        <v>37</v>
      </c>
      <c r="B8">
        <v>18</v>
      </c>
    </row>
    <row r="9" spans="1:2">
      <c r="A9" s="6" t="s">
        <v>38</v>
      </c>
      <c r="B9">
        <v>20</v>
      </c>
    </row>
    <row r="10" spans="1:2">
      <c r="A10" s="6" t="s">
        <v>39</v>
      </c>
      <c r="B10">
        <v>19</v>
      </c>
    </row>
    <row r="11" spans="1:2">
      <c r="A11" s="6" t="s">
        <v>40</v>
      </c>
    </row>
    <row r="12" spans="1:2">
      <c r="A12" s="6" t="s">
        <v>41</v>
      </c>
      <c r="B12">
        <v>134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64ea61-7977-4d50-ba89-ba79f2a6ac2e">
      <Terms xmlns="http://schemas.microsoft.com/office/infopath/2007/PartnerControls"/>
    </lcf76f155ced4ddcb4097134ff3c332f>
    <TaxCatchAll xmlns="3f9c344f-c3dc-4d3a-ba8b-29f4809c70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EDCF844437C4389CD9FCE6FDF6B49" ma:contentTypeVersion="19" ma:contentTypeDescription="Crie um novo documento." ma:contentTypeScope="" ma:versionID="8d53b95a52c587c828549cd36eebf6ea">
  <xsd:schema xmlns:xsd="http://www.w3.org/2001/XMLSchema" xmlns:xs="http://www.w3.org/2001/XMLSchema" xmlns:p="http://schemas.microsoft.com/office/2006/metadata/properties" xmlns:ns2="3f9c344f-c3dc-4d3a-ba8b-29f4809c702e" xmlns:ns3="3164ea61-7977-4d50-ba89-ba79f2a6ac2e" targetNamespace="http://schemas.microsoft.com/office/2006/metadata/properties" ma:root="true" ma:fieldsID="c7366bd44983746aeb55efed973725cb" ns2:_="" ns3:_="">
    <xsd:import namespace="3f9c344f-c3dc-4d3a-ba8b-29f4809c702e"/>
    <xsd:import namespace="3164ea61-7977-4d50-ba89-ba79f2a6ac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344f-c3dc-4d3a-ba8b-29f4809c70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bfe26879-00f7-4154-a0a6-bc4ce062ef01}" ma:internalName="TaxCatchAll" ma:showField="CatchAllData" ma:web="3f9c344f-c3dc-4d3a-ba8b-29f4809c7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4ea61-7977-4d50-ba89-ba79f2a6a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0C4C2-56AD-4A8D-A714-EC8D555A0FAA}"/>
</file>

<file path=customXml/itemProps2.xml><?xml version="1.0" encoding="utf-8"?>
<ds:datastoreItem xmlns:ds="http://schemas.openxmlformats.org/officeDocument/2006/customXml" ds:itemID="{88C8DA6D-2BC2-4646-B2AD-24B3E06CFD94}"/>
</file>

<file path=customXml/itemProps3.xml><?xml version="1.0" encoding="utf-8"?>
<ds:datastoreItem xmlns:ds="http://schemas.openxmlformats.org/officeDocument/2006/customXml" ds:itemID="{83A1FC35-4FDF-40DE-BA8E-2F38AA247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Josua</dc:creator>
  <cp:keywords/>
  <dc:description/>
  <cp:lastModifiedBy>CAIO ACAYABA FURTADO .</cp:lastModifiedBy>
  <cp:revision/>
  <dcterms:created xsi:type="dcterms:W3CDTF">2024-03-25T14:39:24Z</dcterms:created>
  <dcterms:modified xsi:type="dcterms:W3CDTF">2024-04-03T18:11:20Z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0x010100220EDCF844437C4389CD9FCE6FDF6B49</vt:lpwstr>
  </property>
  <property fmtid="{D5CDD505-2E9C-101B-9397-08002B2CF9AE}" pid="3" name="MediaServiceImageTags">
    <vt:lpwstr/>
  </property>
</Properties>
</file>