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9"/>
  <workbookPr/>
  <mc:AlternateContent xmlns:mc="http://schemas.openxmlformats.org/markup-compatibility/2006">
    <mc:Choice Requires="x15">
      <x15ac:absPath xmlns:x15ac="http://schemas.microsoft.com/office/spreadsheetml/2010/11/ac" url="https://bandteccom.sharepoint.com/sites/SPTSE/Socioemocional/Ciclo 2024.1/_01Aulas/_SIS E CCO/1o ano/1o semestre/material de apoio/"/>
    </mc:Choice>
  </mc:AlternateContent>
  <xr:revisionPtr revIDLastSave="363" documentId="13_ncr:1_{E32437EA-3197-48C5-837A-1F351BAE5F5C}" xr6:coauthVersionLast="47" xr6:coauthVersionMax="47" xr10:uidLastSave="{6D186E60-40B5-4064-9D5E-97FAC099957C}"/>
  <bookViews>
    <workbookView xWindow="-120" yWindow="-120" windowWidth="20730" windowHeight="11160" firstSheet="6" activeTab="6" xr2:uid="{FAC1E4BD-9C33-4245-B1C6-31B46969BBFD}"/>
  </bookViews>
  <sheets>
    <sheet name="P.I." sheetId="3" r:id="rId1"/>
    <sheet name="BD" sheetId="2" r:id="rId2"/>
    <sheet name="Algoritimo" sheetId="7" r:id="rId3"/>
    <sheet name="T.I." sheetId="6" r:id="rId4"/>
    <sheet name="Arq.Comp" sheetId="4" r:id="rId5"/>
    <sheet name="S.O." sheetId="5" r:id="rId6"/>
    <sheet name="Sócio. E.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  <c r="H16" i="8"/>
  <c r="E16" i="8"/>
  <c r="C16" i="8"/>
  <c r="H15" i="8"/>
  <c r="E15" i="8"/>
  <c r="C15" i="8"/>
  <c r="H14" i="8"/>
  <c r="E14" i="8"/>
  <c r="C14" i="8"/>
  <c r="H13" i="8"/>
  <c r="E13" i="8"/>
  <c r="C13" i="8"/>
  <c r="H12" i="8"/>
  <c r="E12" i="8"/>
  <c r="C12" i="8"/>
  <c r="H11" i="8"/>
  <c r="E11" i="8"/>
  <c r="C11" i="8"/>
  <c r="H10" i="8"/>
  <c r="E10" i="8"/>
  <c r="C10" i="8"/>
  <c r="H9" i="8"/>
  <c r="E9" i="8"/>
  <c r="C9" i="8"/>
  <c r="H8" i="8"/>
  <c r="E8" i="8"/>
  <c r="C8" i="8"/>
  <c r="H7" i="8"/>
  <c r="E7" i="8"/>
  <c r="C7" i="8"/>
  <c r="H6" i="8"/>
  <c r="E6" i="8"/>
  <c r="C6" i="8"/>
  <c r="H5" i="8"/>
  <c r="E5" i="8"/>
  <c r="C5" i="8"/>
  <c r="H4" i="8"/>
  <c r="E4" i="8"/>
  <c r="C4" i="8"/>
  <c r="H16" i="7"/>
  <c r="E16" i="7"/>
  <c r="C16" i="7"/>
  <c r="H15" i="7"/>
  <c r="E15" i="7"/>
  <c r="C15" i="7"/>
  <c r="H14" i="7"/>
  <c r="E14" i="7"/>
  <c r="C14" i="7"/>
  <c r="H13" i="7"/>
  <c r="E13" i="7"/>
  <c r="C13" i="7"/>
  <c r="H12" i="7"/>
  <c r="E12" i="7"/>
  <c r="C12" i="7"/>
  <c r="H11" i="7"/>
  <c r="E11" i="7"/>
  <c r="C11" i="7"/>
  <c r="H10" i="7"/>
  <c r="E10" i="7"/>
  <c r="C10" i="7"/>
  <c r="H9" i="7"/>
  <c r="E9" i="7"/>
  <c r="C9" i="7"/>
  <c r="H8" i="7"/>
  <c r="E8" i="7"/>
  <c r="C8" i="7"/>
  <c r="H7" i="7"/>
  <c r="E7" i="7"/>
  <c r="C7" i="7"/>
  <c r="H6" i="7"/>
  <c r="E6" i="7"/>
  <c r="C6" i="7"/>
  <c r="H5" i="7"/>
  <c r="E5" i="7"/>
  <c r="C5" i="7"/>
  <c r="H4" i="7"/>
  <c r="E4" i="7"/>
  <c r="C4" i="7"/>
  <c r="H16" i="6"/>
  <c r="E16" i="6"/>
  <c r="C16" i="6"/>
  <c r="H15" i="6"/>
  <c r="E15" i="6"/>
  <c r="C15" i="6"/>
  <c r="H14" i="6"/>
  <c r="E14" i="6"/>
  <c r="C14" i="6"/>
  <c r="H13" i="6"/>
  <c r="E13" i="6"/>
  <c r="C13" i="6"/>
  <c r="H12" i="6"/>
  <c r="E12" i="6"/>
  <c r="C12" i="6"/>
  <c r="H11" i="6"/>
  <c r="E11" i="6"/>
  <c r="C11" i="6"/>
  <c r="H10" i="6"/>
  <c r="E10" i="6"/>
  <c r="C10" i="6"/>
  <c r="H9" i="6"/>
  <c r="E9" i="6"/>
  <c r="C9" i="6"/>
  <c r="H8" i="6"/>
  <c r="E8" i="6"/>
  <c r="C8" i="6"/>
  <c r="H7" i="6"/>
  <c r="E7" i="6"/>
  <c r="C7" i="6"/>
  <c r="H6" i="6"/>
  <c r="E6" i="6"/>
  <c r="C6" i="6"/>
  <c r="H5" i="6"/>
  <c r="E5" i="6"/>
  <c r="C5" i="6"/>
  <c r="H4" i="6"/>
  <c r="E4" i="6"/>
  <c r="C4" i="6"/>
  <c r="H16" i="5"/>
  <c r="E16" i="5"/>
  <c r="C16" i="5"/>
  <c r="H15" i="5"/>
  <c r="E15" i="5"/>
  <c r="C15" i="5"/>
  <c r="H14" i="5"/>
  <c r="E14" i="5"/>
  <c r="C14" i="5"/>
  <c r="H13" i="5"/>
  <c r="E13" i="5"/>
  <c r="C13" i="5"/>
  <c r="H12" i="5"/>
  <c r="E12" i="5"/>
  <c r="C12" i="5"/>
  <c r="H11" i="5"/>
  <c r="E11" i="5"/>
  <c r="C11" i="5"/>
  <c r="H10" i="5"/>
  <c r="E10" i="5"/>
  <c r="C10" i="5"/>
  <c r="H9" i="5"/>
  <c r="E9" i="5"/>
  <c r="C9" i="5"/>
  <c r="H8" i="5"/>
  <c r="E8" i="5"/>
  <c r="C8" i="5"/>
  <c r="H7" i="5"/>
  <c r="E7" i="5"/>
  <c r="C7" i="5"/>
  <c r="H6" i="5"/>
  <c r="E6" i="5"/>
  <c r="C6" i="5"/>
  <c r="H5" i="5"/>
  <c r="E5" i="5"/>
  <c r="C5" i="5"/>
  <c r="H4" i="5"/>
  <c r="E4" i="5"/>
  <c r="C4" i="5"/>
  <c r="H16" i="4"/>
  <c r="E16" i="4"/>
  <c r="C16" i="4"/>
  <c r="H15" i="4"/>
  <c r="E15" i="4"/>
  <c r="C15" i="4"/>
  <c r="H14" i="4"/>
  <c r="E14" i="4"/>
  <c r="C14" i="4"/>
  <c r="H13" i="4"/>
  <c r="E13" i="4"/>
  <c r="C13" i="4"/>
  <c r="H12" i="4"/>
  <c r="E12" i="4"/>
  <c r="C12" i="4"/>
  <c r="H11" i="4"/>
  <c r="E11" i="4"/>
  <c r="C11" i="4"/>
  <c r="H10" i="4"/>
  <c r="E10" i="4"/>
  <c r="C10" i="4"/>
  <c r="H9" i="4"/>
  <c r="E9" i="4"/>
  <c r="C9" i="4"/>
  <c r="H8" i="4"/>
  <c r="E8" i="4"/>
  <c r="C8" i="4"/>
  <c r="H7" i="4"/>
  <c r="E7" i="4"/>
  <c r="C7" i="4"/>
  <c r="H6" i="4"/>
  <c r="E6" i="4"/>
  <c r="C6" i="4"/>
  <c r="H5" i="4"/>
  <c r="E5" i="4"/>
  <c r="C5" i="4"/>
  <c r="H4" i="4"/>
  <c r="E4" i="4"/>
  <c r="C4" i="4"/>
  <c r="H16" i="3"/>
  <c r="E16" i="3"/>
  <c r="C16" i="3"/>
  <c r="H15" i="3"/>
  <c r="E15" i="3"/>
  <c r="C15" i="3"/>
  <c r="H14" i="3"/>
  <c r="E14" i="3"/>
  <c r="C14" i="3"/>
  <c r="H13" i="3"/>
  <c r="E13" i="3"/>
  <c r="C13" i="3"/>
  <c r="H12" i="3"/>
  <c r="E12" i="3"/>
  <c r="C12" i="3"/>
  <c r="H11" i="3"/>
  <c r="E11" i="3"/>
  <c r="C11" i="3"/>
  <c r="H10" i="3"/>
  <c r="E10" i="3"/>
  <c r="C10" i="3"/>
  <c r="H9" i="3"/>
  <c r="E9" i="3"/>
  <c r="C9" i="3"/>
  <c r="H8" i="3"/>
  <c r="E8" i="3"/>
  <c r="C8" i="3"/>
  <c r="H7" i="3"/>
  <c r="E7" i="3"/>
  <c r="C7" i="3"/>
  <c r="H6" i="3"/>
  <c r="C6" i="3"/>
  <c r="H5" i="3"/>
  <c r="E5" i="3"/>
  <c r="C5" i="3"/>
  <c r="H4" i="3"/>
  <c r="E4" i="3"/>
  <c r="C4" i="3"/>
  <c r="C4" i="2"/>
  <c r="C5" i="2"/>
  <c r="C6" i="2"/>
  <c r="E6" i="2"/>
  <c r="H6" i="2"/>
  <c r="C7" i="2"/>
  <c r="E7" i="2"/>
  <c r="H7" i="2"/>
  <c r="C8" i="2"/>
  <c r="E8" i="2"/>
  <c r="H8" i="2"/>
  <c r="C9" i="2"/>
  <c r="E9" i="2"/>
  <c r="H9" i="2"/>
  <c r="C10" i="2"/>
  <c r="E10" i="2"/>
  <c r="H10" i="2"/>
  <c r="C11" i="2"/>
  <c r="E11" i="2"/>
  <c r="H11" i="2"/>
  <c r="C12" i="2"/>
  <c r="E12" i="2"/>
  <c r="H12" i="2"/>
  <c r="C13" i="2"/>
  <c r="E13" i="2"/>
  <c r="H13" i="2"/>
  <c r="C14" i="2"/>
  <c r="E14" i="2"/>
  <c r="H14" i="2"/>
  <c r="C15" i="2"/>
  <c r="E15" i="2"/>
  <c r="H15" i="2"/>
  <c r="C16" i="2"/>
  <c r="E16" i="2"/>
  <c r="H16" i="2"/>
  <c r="E4" i="2"/>
  <c r="H4" i="2"/>
  <c r="E5" i="2"/>
  <c r="H5" i="2"/>
  <c r="O7" i="8" l="1"/>
  <c r="O6" i="8"/>
  <c r="O5" i="8"/>
  <c r="O4" i="8"/>
  <c r="O7" i="7"/>
  <c r="O6" i="7"/>
  <c r="O5" i="7"/>
  <c r="O4" i="7"/>
  <c r="O7" i="6"/>
  <c r="O6" i="6"/>
  <c r="O5" i="6"/>
  <c r="O4" i="6"/>
  <c r="O7" i="5"/>
  <c r="O6" i="5"/>
  <c r="O5" i="5"/>
  <c r="O4" i="5"/>
  <c r="O7" i="4"/>
  <c r="O6" i="4"/>
  <c r="O5" i="4"/>
  <c r="O4" i="4"/>
  <c r="O7" i="3"/>
  <c r="O6" i="3"/>
  <c r="O5" i="3"/>
  <c r="O4" i="3"/>
  <c r="O7" i="2"/>
  <c r="O6" i="2"/>
  <c r="O4" i="2"/>
  <c r="O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tc={EEFD8818-0F5A-4407-824C-B29686AB3FB1}</author>
    <author>tc={81AEE19A-413B-4CB4-B825-E223FB614F31}</author>
    <author>tc={4906DA96-B9BB-4D99-ABE1-EFBD54EC9007}</author>
    <author>tc={89E98458-BB0F-4DA1-B00C-06F170158C96}</author>
    <author>tc={C65C66B4-CF1C-4810-A510-0AC89799145B}</author>
    <author>tc={4CDBD19F-D36C-4131-8B88-E41D34E1602E}</author>
    <author>tc={8CBAB0CC-2E56-46A1-9634-BD2D52498B61}</author>
    <author>tc={7A7755ED-D1B3-41DB-A147-4355E131B212}</author>
    <author>tc={11DE8667-1D7E-4A43-AA88-CBE9FBFC2322}</author>
    <author>tc={3CBDEF81-95E0-4303-9046-576CBF8BE2D3}</author>
    <author>tc={AF58733F-26F7-4797-A1D6-5D4FB00D004D}</author>
    <author>tc={6D808167-A205-436A-82ED-8A039147CC53}</author>
  </authors>
  <commentList>
    <comment ref="B3" authorId="0" shapeId="0" xr:uid="{EEFD8818-0F5A-4407-824C-B29686AB3FB1}">
      <text>
        <t>[Threaded comment]
Your version of Excel allows you to read this threaded comment; however, any edits to it will get removed if the file is opened in a newer version of Excel. Learn more: https://go.microsoft.com/fwlink/?linkid=870924
Comment:
    Inserir aqui apenas os dias de estudo planejados para esta disciplina, conforme o seu roteiro de estudos</t>
      </text>
    </comment>
    <comment ref="C3" authorId="1" shapeId="0" xr:uid="{81AEE19A-413B-4CB4-B825-E223FB614F31}">
      <text>
        <t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</t>
      </text>
    </comment>
    <comment ref="D3" authorId="2" shapeId="0" xr:uid="{4906DA96-B9BB-4D99-ABE1-EFBD54EC900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Aqui você deve colocar, manualmente, a quantidade de horas diárias que você realizou em sua rotina de estudos. </t>
      </text>
    </comment>
    <comment ref="E3" authorId="3" shapeId="0" xr:uid="{89E98458-BB0F-4DA1-B00C-06F170158C96}">
      <text>
        <t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</t>
      </text>
    </comment>
    <comment ref="F3" authorId="4" shapeId="0" xr:uid="{C65C66B4-CF1C-4810-A510-0AC8979914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Aqui você deve incluir, manualmente, a quantidade de exercícios solicitados pelo professor.
</t>
      </text>
    </comment>
    <comment ref="G3" authorId="5" shapeId="0" xr:uid="{4CDBD19F-D36C-4131-8B88-E41D34E1602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Essa coluna é destinada para você incluir, manualmente, a porcentagem de exercícios realizados. 
Exemplo: Tinham 10 exercícios e você fez 5, logo você realizou 50% dos exercícios que foram escolhidos para estudos naquele dia. </t>
      </text>
    </comment>
    <comment ref="H3" authorId="6" shapeId="0" xr:uid="{8CBAB0CC-2E56-46A1-9634-BD2D52498B6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 </t>
      </text>
    </comment>
    <comment ref="I3" authorId="7" shapeId="0" xr:uid="{7A7755ED-D1B3-41DB-A147-4355E131B2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Aqui você deverá incluir, manualmente, a porcentagem de acertos. 
Exemplo: Você realizou uma listagem de 20 exercícios e acertou 15, logo você terá acertado 75% da listagem de exercícios realizados. 
</t>
      </text>
    </comment>
    <comment ref="J3" authorId="8" shapeId="0" xr:uid="{11DE8667-1D7E-4A43-AA88-CBE9FBFC23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Já nessa coluna você deve colocar os resumos feitos. Aqui você pode escolher uma sinalização mais prática por SIM ou NÂO.  </t>
      </text>
    </comment>
    <comment ref="K3" authorId="9" shapeId="0" xr:uid="{3CBDEF81-95E0-4303-9046-576CBF8BE2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Essa coluna você poderá anotar os trabalhos que necessitam de entregas e para isso terá a nomenclatura de SIM., NÃO ou NÃO SE APLICA. Entretanto você também pode sinalizar com numeração. </t>
      </text>
    </comment>
    <comment ref="N3" authorId="10" shapeId="0" xr:uid="{AF58733F-26F7-4797-A1D6-5D4FB00D00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 </t>
      </text>
    </comment>
    <comment ref="O3" authorId="11" shapeId="0" xr:uid="{6D808167-A205-436A-82ED-8A039147CC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tc={29CE3B83-745D-4FFC-A417-1858B90870BE}</author>
    <author>tc={A80DC6F5-EF0D-4879-928F-42641F22DC43}</author>
    <author>tc={5460185C-EF37-4EE4-AB7A-92E4AB8CD42E}</author>
    <author>tc={42D0AA05-483D-47F2-87E2-92E51A5A2CF3}</author>
    <author>tc={6F52B0F1-5846-4825-AEA6-F524C1CF0409}</author>
    <author>tc={89497E34-8757-4891-895A-012735BAFA13}</author>
    <author>tc={39DD24A4-E158-4EC7-AFCB-BAAE6B30F4B7}</author>
    <author>tc={D0A0FFFE-8D6E-4C61-82C9-A6E5CA60A4CB}</author>
    <author>tc={3BD161DD-4186-4396-B479-EB2F8B1FB334}</author>
    <author>tc={32AC4AB1-BBE9-4D0B-A015-FEFAB60F141C}</author>
    <author>tc={F4A09A00-4014-4B27-83B1-1A0E84F9E48C}</author>
    <author>tc={C5BB79A7-2CD2-435E-AA8C-9795A65DAC4D}</author>
  </authors>
  <commentList>
    <comment ref="B3" authorId="0" shapeId="0" xr:uid="{29CE3B83-745D-4FFC-A417-1858B90870BE}">
      <text>
        <t>[Threaded comment]
Your version of Excel allows you to read this threaded comment; however, any edits to it will get removed if the file is opened in a newer version of Excel. Learn more: https://go.microsoft.com/fwlink/?linkid=870924
Comment:
    Inserir aqui apenas os dias de estudo planejados para esta disciplina, conforme o seu roteiro de estudos</t>
      </text>
    </comment>
    <comment ref="C3" authorId="1" shapeId="0" xr:uid="{A80DC6F5-EF0D-4879-928F-42641F22DC43}">
      <text>
        <t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</t>
      </text>
    </comment>
    <comment ref="D3" authorId="2" shapeId="0" xr:uid="{5460185C-EF37-4EE4-AB7A-92E4AB8CD42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Aqui você deve colocar, manualmente, a quantidade de horas diárias que você realizou em sua rotina de estudos. </t>
      </text>
    </comment>
    <comment ref="E3" authorId="3" shapeId="0" xr:uid="{42D0AA05-483D-47F2-87E2-92E51A5A2CF3}">
      <text>
        <t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</t>
      </text>
    </comment>
    <comment ref="F3" authorId="4" shapeId="0" xr:uid="{6F52B0F1-5846-4825-AEA6-F524C1CF04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Aqui você deve incluir, manualmente, a quantidade de exercícios solicitados pelo professor.
</t>
      </text>
    </comment>
    <comment ref="G3" authorId="5" shapeId="0" xr:uid="{89497E34-8757-4891-895A-012735BAFA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Essa coluna é destinada para você incluir, manualmente, a porcentagem de exercícios realizados. 
Exemplo: Tinham 10 exercícios e você fez 5, logo você realizou 50% dos exercícios que foram escolhidos para estudos naquele dia. </t>
      </text>
    </comment>
    <comment ref="H3" authorId="6" shapeId="0" xr:uid="{39DD24A4-E158-4EC7-AFCB-BAAE6B30F4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 </t>
      </text>
    </comment>
    <comment ref="I3" authorId="7" shapeId="0" xr:uid="{D0A0FFFE-8D6E-4C61-82C9-A6E5CA60A4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Aqui você deverá incluir, manualmente, a porcentagem de acertos. 
Exemplo: Você realizou uma listagem de 20 exercícios e acertou 15, logo você terá acertado 75% da listagem de exercícios realizados. 
</t>
      </text>
    </comment>
    <comment ref="J3" authorId="8" shapeId="0" xr:uid="{3BD161DD-4186-4396-B479-EB2F8B1FB33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Já nessa coluna você deve colocar os resumos feitos. Aqui você pode escolher uma sinalização mais prática por SIM ou NÂO.  </t>
      </text>
    </comment>
    <comment ref="K3" authorId="9" shapeId="0" xr:uid="{32AC4AB1-BBE9-4D0B-A015-FEFAB60F14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Essa coluna você poderá anotar os trabalhos que necessitam de entregas e para isso terá a nomenclatura de SIM., NÃO ou NÃO SE APLICA. Entretanto você também pode sinalizar com numeração. </t>
      </text>
    </comment>
    <comment ref="N3" authorId="10" shapeId="0" xr:uid="{F4A09A00-4014-4B27-83B1-1A0E84F9E4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 </t>
      </text>
    </comment>
    <comment ref="O3" authorId="11" shapeId="0" xr:uid="{C5BB79A7-2CD2-435E-AA8C-9795A65DAC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tc={84980C37-9AAD-4293-A861-C8445076F98B}</author>
    <author>tc={F8F5E13C-2283-498B-BE04-1502F0E5DBCE}</author>
    <author>tc={DF4B0BB1-6421-4CDC-AF8F-E4AA785811CB}</author>
    <author>tc={32237544-FE46-4C2A-A29A-8D990760F741}</author>
    <author>tc={2FFB0CA4-5E29-4158-AE3B-2D3AAFF9EBC1}</author>
    <author>tc={F3FA552F-36FB-44D0-943A-1B8A002888DF}</author>
    <author>tc={BC4CA18A-D5ED-4AA6-84A8-9FAA42AFBAED}</author>
    <author>tc={BB1A2693-A810-40C6-9436-24D3E0774AEB}</author>
    <author>tc={20BEE38D-C924-435A-80C5-290EFC763574}</author>
    <author>tc={75832E37-B04F-4E9C-8748-251A190C5562}</author>
    <author>tc={36F135FC-915F-4AB7-AC4A-55EC6245BE23}</author>
    <author>tc={72B285AE-0E64-49F6-977E-EF1F267FA22A}</author>
  </authors>
  <commentList>
    <comment ref="B3" authorId="0" shapeId="0" xr:uid="{84980C37-9AAD-4293-A861-C8445076F98B}">
      <text>
        <t>[Threaded comment]
Your version of Excel allows you to read this threaded comment; however, any edits to it will get removed if the file is opened in a newer version of Excel. Learn more: https://go.microsoft.com/fwlink/?linkid=870924
Comment:
    Inserir aqui apenas os dias de estudo planejados para esta disciplina, conforme o seu roteiro de estudos</t>
      </text>
    </comment>
    <comment ref="C3" authorId="1" shapeId="0" xr:uid="{F8F5E13C-2283-498B-BE04-1502F0E5DBCE}">
      <text>
        <t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</t>
      </text>
    </comment>
    <comment ref="D3" authorId="2" shapeId="0" xr:uid="{DF4B0BB1-6421-4CDC-AF8F-E4AA785811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Aqui você deve colocar, manualmente, a quantidade de horas diárias que você realizou em sua rotina de estudos. </t>
      </text>
    </comment>
    <comment ref="E3" authorId="3" shapeId="0" xr:uid="{32237544-FE46-4C2A-A29A-8D990760F741}">
      <text>
        <t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</t>
      </text>
    </comment>
    <comment ref="F3" authorId="4" shapeId="0" xr:uid="{2FFB0CA4-5E29-4158-AE3B-2D3AAFF9EB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Aqui você deve incluir, manualmente, a quantidade de exercícios solicitados pelo professor.
</t>
      </text>
    </comment>
    <comment ref="G3" authorId="5" shapeId="0" xr:uid="{F3FA552F-36FB-44D0-943A-1B8A002888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Essa coluna é destinada para você incluir, manualmente, a porcentagem de exercícios realizados. 
Exemplo: Tinham 10 exercícios e você fez 5, logo você realizou 50% dos exercícios que foram escolhidos para estudos naquele dia. </t>
      </text>
    </comment>
    <comment ref="H3" authorId="6" shapeId="0" xr:uid="{BC4CA18A-D5ED-4AA6-84A8-9FAA42AFBA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 </t>
      </text>
    </comment>
    <comment ref="I3" authorId="7" shapeId="0" xr:uid="{BB1A2693-A810-40C6-9436-24D3E0774A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Aqui você deverá incluir, manualmente, a porcentagem de acertos. 
Exemplo: Você realizou uma listagem de 20 exercícios e acertou 15, logo você terá acertado 75% da listagem de exercícios realizados. 
</t>
      </text>
    </comment>
    <comment ref="J3" authorId="8" shapeId="0" xr:uid="{20BEE38D-C924-435A-80C5-290EFC76357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Já nessa coluna você deve colocar os resumos feitos. Aqui você pode escolher uma sinalização mais prática por SIM ou NÂO.  </t>
      </text>
    </comment>
    <comment ref="K3" authorId="9" shapeId="0" xr:uid="{75832E37-B04F-4E9C-8748-251A190C55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Essa coluna você poderá anotar os trabalhos que necessitam de entregas e para isso terá a nomenclatura de SIM., NÃO ou NÃO SE APLICA. Entretanto você também pode sinalizar com numeração. </t>
      </text>
    </comment>
    <comment ref="N3" authorId="10" shapeId="0" xr:uid="{36F135FC-915F-4AB7-AC4A-55EC6245BE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 </t>
      </text>
    </comment>
    <comment ref="O3" authorId="11" shapeId="0" xr:uid="{72B285AE-0E64-49F6-977E-EF1F267FA2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tc={C541979D-A9B6-4E08-88AE-2AAEBE0A35FB}</author>
    <author>tc={CA46DB33-4B36-43C1-BD43-35A701A1FAE1}</author>
    <author>tc={9146B189-9DD4-4ABB-88BC-75B1DB5DA8CA}</author>
    <author>tc={2E91B757-D743-465B-A1D9-9C4E257E92E9}</author>
    <author>tc={29B133BD-34B0-4956-95DA-A7CA56007828}</author>
    <author>tc={D26F5E18-2FF4-4546-8C6E-54C17C94135C}</author>
    <author>tc={D492F59D-BD2A-4CB5-99E7-0684B91DB896}</author>
    <author>tc={FB858F4E-4FB6-4AEB-A10E-2795979C370B}</author>
    <author>tc={6365A29A-C03B-4C9C-A596-12D1FD4EC0B5}</author>
    <author>tc={1E2BB48A-920D-453E-9E1E-498DB5339478}</author>
    <author>tc={C2EF39E7-1C90-4263-91B3-08926816DC46}</author>
    <author>tc={77C96145-BAD2-4E92-A0B1-783E23C21E33}</author>
  </authors>
  <commentList>
    <comment ref="B3" authorId="0" shapeId="0" xr:uid="{C541979D-A9B6-4E08-88AE-2AAEBE0A35FB}">
      <text>
        <t>[Threaded comment]
Your version of Excel allows you to read this threaded comment; however, any edits to it will get removed if the file is opened in a newer version of Excel. Learn more: https://go.microsoft.com/fwlink/?linkid=870924
Comment:
    Inserir aqui apenas os dias de estudo planejados para esta disciplina, conforme o seu roteiro de estudos</t>
      </text>
    </comment>
    <comment ref="C3" authorId="1" shapeId="0" xr:uid="{CA46DB33-4B36-43C1-BD43-35A701A1FAE1}">
      <text>
        <t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</t>
      </text>
    </comment>
    <comment ref="D3" authorId="2" shapeId="0" xr:uid="{9146B189-9DD4-4ABB-88BC-75B1DB5DA8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Aqui você deve colocar, manualmente, a quantidade de horas diárias que você realizou em sua rotina de estudos. </t>
      </text>
    </comment>
    <comment ref="E3" authorId="3" shapeId="0" xr:uid="{2E91B757-D743-465B-A1D9-9C4E257E92E9}">
      <text>
        <t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</t>
      </text>
    </comment>
    <comment ref="F3" authorId="4" shapeId="0" xr:uid="{29B133BD-34B0-4956-95DA-A7CA560078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Aqui você deve incluir, manualmente, a quantidade de exercícios solicitados pelo professor.
</t>
      </text>
    </comment>
    <comment ref="G3" authorId="5" shapeId="0" xr:uid="{D26F5E18-2FF4-4546-8C6E-54C17C9413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Essa coluna é destinada para você incluir, manualmente, a porcentagem de exercícios realizados. 
Exemplo: Tinham 10 exercícios e você fez 5, logo você realizou 50% dos exercícios que foram escolhidos para estudos naquele dia. </t>
      </text>
    </comment>
    <comment ref="H3" authorId="6" shapeId="0" xr:uid="{D492F59D-BD2A-4CB5-99E7-0684B91DB8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 </t>
      </text>
    </comment>
    <comment ref="I3" authorId="7" shapeId="0" xr:uid="{FB858F4E-4FB6-4AEB-A10E-2795979C37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Aqui você deverá incluir, manualmente, a porcentagem de acertos. 
Exemplo: Você realizou uma listagem de 20 exercícios e acertou 15, logo você terá acertado 75% da listagem de exercícios realizados. 
</t>
      </text>
    </comment>
    <comment ref="J3" authorId="8" shapeId="0" xr:uid="{6365A29A-C03B-4C9C-A596-12D1FD4EC0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Já nessa coluna você deve colocar os resumos feitos. Aqui você pode escolher uma sinalização mais prática por SIM ou NÂO.  </t>
      </text>
    </comment>
    <comment ref="K3" authorId="9" shapeId="0" xr:uid="{1E2BB48A-920D-453E-9E1E-498DB53394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Essa coluna você poderá anotar os trabalhos que necessitam de entregas e para isso terá a nomenclatura de SIM., NÃO ou NÃO SE APLICA. Entretanto você também pode sinalizar com numeração. </t>
      </text>
    </comment>
    <comment ref="N3" authorId="10" shapeId="0" xr:uid="{C2EF39E7-1C90-4263-91B3-08926816DC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 </t>
      </text>
    </comment>
    <comment ref="O3" authorId="11" shapeId="0" xr:uid="{77C96145-BAD2-4E92-A0B1-783E23C21E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tc={B495A53C-CEEC-4146-8F74-6DEB6247CE2F}</author>
    <author>tc={EDD9AB94-1BB4-4557-8794-E879A3D1C39F}</author>
    <author>tc={B7C70BF6-1299-4C7C-B4A6-EF0455CFF629}</author>
    <author>tc={24098FE7-A8FE-475D-B219-7AB4F5936072}</author>
    <author>tc={DB24FF4B-1F9C-4563-952E-D3E8AAF82B75}</author>
    <author>tc={8EF907AF-C18B-4215-A394-C488B08F7CA0}</author>
    <author>tc={D101815F-C8DF-4380-A59E-25106DC1702E}</author>
    <author>tc={E5BB9246-4404-4086-AD10-D9D0DE93E9AE}</author>
    <author>tc={24AB79A2-831D-4EFC-AA82-3E952B786883}</author>
    <author>tc={5335DED2-1129-47B0-8703-3B56D82CCFE9}</author>
    <author>tc={4148875D-1EF0-4E4C-A0EE-0E12BCE6BC49}</author>
    <author>tc={A0956A0E-8BDA-42EB-B5EF-164C981798EB}</author>
  </authors>
  <commentList>
    <comment ref="B3" authorId="0" shapeId="0" xr:uid="{B495A53C-CEEC-4146-8F74-6DEB6247CE2F}">
      <text>
        <t>[Threaded comment]
Your version of Excel allows you to read this threaded comment; however, any edits to it will get removed if the file is opened in a newer version of Excel. Learn more: https://go.microsoft.com/fwlink/?linkid=870924
Comment:
    Inserir aqui apenas os dias de estudo planejados para esta disciplina, conforme o seu roteiro de estudos</t>
      </text>
    </comment>
    <comment ref="C3" authorId="1" shapeId="0" xr:uid="{EDD9AB94-1BB4-4557-8794-E879A3D1C39F}">
      <text>
        <t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</t>
      </text>
    </comment>
    <comment ref="D3" authorId="2" shapeId="0" xr:uid="{B7C70BF6-1299-4C7C-B4A6-EF0455CFF6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Aqui você deve colocar, manualmente, a quantidade de horas diárias que você realizou em sua rotina de estudos. </t>
      </text>
    </comment>
    <comment ref="E3" authorId="3" shapeId="0" xr:uid="{24098FE7-A8FE-475D-B219-7AB4F5936072}">
      <text>
        <t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</t>
      </text>
    </comment>
    <comment ref="F3" authorId="4" shapeId="0" xr:uid="{DB24FF4B-1F9C-4563-952E-D3E8AAF82B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Aqui você deve incluir, manualmente, a quantidade de exercícios solicitados pelo professor.
</t>
      </text>
    </comment>
    <comment ref="G3" authorId="5" shapeId="0" xr:uid="{8EF907AF-C18B-4215-A394-C488B08F7C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Essa coluna é destinada para você incluir, manualmente, a porcentagem de exercícios realizados. 
Exemplo: Tinham 10 exercícios e você fez 5, logo você realizou 50% dos exercícios que foram escolhidos para estudos naquele dia. </t>
      </text>
    </comment>
    <comment ref="H3" authorId="6" shapeId="0" xr:uid="{D101815F-C8DF-4380-A59E-25106DC1702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 </t>
      </text>
    </comment>
    <comment ref="I3" authorId="7" shapeId="0" xr:uid="{E5BB9246-4404-4086-AD10-D9D0DE93E9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Aqui você deverá incluir, manualmente, a porcentagem de acertos. 
Exemplo: Você realizou uma listagem de 20 exercícios e acertou 15, logo você terá acertado 75% da listagem de exercícios realizados. 
</t>
      </text>
    </comment>
    <comment ref="J3" authorId="8" shapeId="0" xr:uid="{24AB79A2-831D-4EFC-AA82-3E952B7868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Já nessa coluna você deve colocar os resumos feitos. Aqui você pode escolher uma sinalização mais prática por SIM ou NÂO.  </t>
      </text>
    </comment>
    <comment ref="K3" authorId="9" shapeId="0" xr:uid="{5335DED2-1129-47B0-8703-3B56D82CCF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Essa coluna você poderá anotar os trabalhos que necessitam de entregas e para isso terá a nomenclatura de SIM., NÃO ou NÃO SE APLICA. Entretanto você também pode sinalizar com numeração. </t>
      </text>
    </comment>
    <comment ref="N3" authorId="10" shapeId="0" xr:uid="{4148875D-1EF0-4E4C-A0EE-0E12BCE6BC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 </t>
      </text>
    </comment>
    <comment ref="O3" authorId="11" shapeId="0" xr:uid="{A0956A0E-8BDA-42EB-B5EF-164C981798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 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tc={8DE10304-F744-44E8-8B01-B27F52966004}</author>
    <author>tc={FDD1A17D-3B38-46B9-AA47-CDBCEDFD837A}</author>
    <author>tc={6CE03723-0768-49AF-BBFE-A09420F31416}</author>
    <author>tc={A36163FB-D7E0-4029-96F2-89FA98CCB5B1}</author>
    <author>tc={2CE603E4-B346-4961-96B0-2CFEE0915BC1}</author>
    <author>tc={47406E35-7841-46FB-8ECA-445E354853D1}</author>
    <author>tc={464CEE84-F7FE-49EB-8D30-81830379F489}</author>
    <author>tc={762AF22F-5892-4DC6-B5A1-85224ECB989B}</author>
    <author>tc={8F284479-7D73-4B72-A332-260515CF7501}</author>
    <author>tc={60536575-3B96-4637-8F81-AA2FF6D79C21}</author>
    <author>tc={5D65A6CE-72D2-4C9E-BA0C-B20836EC4402}</author>
    <author>tc={54616F13-1A8C-4EBB-AB14-0D1B0EE8016A}</author>
  </authors>
  <commentList>
    <comment ref="B3" authorId="0" shapeId="0" xr:uid="{8DE10304-F744-44E8-8B01-B27F52966004}">
      <text>
        <t>[Threaded comment]
Your version of Excel allows you to read this threaded comment; however, any edits to it will get removed if the file is opened in a newer version of Excel. Learn more: https://go.microsoft.com/fwlink/?linkid=870924
Comment:
    Inserir aqui apenas os dias de estudo planejados para esta disciplina, conforme o seu roteiro de estudos</t>
      </text>
    </comment>
    <comment ref="C3" authorId="1" shapeId="0" xr:uid="{FDD1A17D-3B38-46B9-AA47-CDBCEDFD837A}">
      <text>
        <t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</t>
      </text>
    </comment>
    <comment ref="D3" authorId="2" shapeId="0" xr:uid="{6CE03723-0768-49AF-BBFE-A09420F314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Aqui você deve colocar, manualmente, a quantidade de horas diárias que você realizou em sua rotina de estudos. </t>
      </text>
    </comment>
    <comment ref="E3" authorId="3" shapeId="0" xr:uid="{A36163FB-D7E0-4029-96F2-89FA98CCB5B1}">
      <text>
        <t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</t>
      </text>
    </comment>
    <comment ref="F3" authorId="4" shapeId="0" xr:uid="{2CE603E4-B346-4961-96B0-2CFEE0915B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Aqui você deve incluir, manualmente, a quantidade de exercícios solicitados pelo professor.
</t>
      </text>
    </comment>
    <comment ref="G3" authorId="5" shapeId="0" xr:uid="{47406E35-7841-46FB-8ECA-445E354853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Essa coluna é destinada para você incluir, manualmente, a porcentagem de exercícios realizados. 
Exemplo: Tinham 10 exercícios e você fez 5, logo você realizou 50% dos exercícios que foram escolhidos para estudos naquele dia. </t>
      </text>
    </comment>
    <comment ref="H3" authorId="6" shapeId="0" xr:uid="{464CEE84-F7FE-49EB-8D30-81830379F4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 </t>
      </text>
    </comment>
    <comment ref="I3" authorId="7" shapeId="0" xr:uid="{762AF22F-5892-4DC6-B5A1-85224ECB989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Aqui você deverá incluir, manualmente, a porcentagem de acertos. 
Exemplo: Você realizou uma listagem de 20 exercícios e acertou 15, logo você terá acertado 75% da listagem de exercícios realizados. 
</t>
      </text>
    </comment>
    <comment ref="J3" authorId="8" shapeId="0" xr:uid="{8F284479-7D73-4B72-A332-260515CF750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Já nessa coluna você deve colocar os resumos feitos. Aqui você pode escolher uma sinalização mais prática por SIM ou NÂO.  </t>
      </text>
    </comment>
    <comment ref="K3" authorId="9" shapeId="0" xr:uid="{60536575-3B96-4637-8F81-AA2FF6D79C2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Essa coluna você poderá anotar os trabalhos que necessitam de entregas e para isso terá a nomenclatura de SIM., NÃO ou NÃO SE APLICA. Entretanto você também pode sinalizar com numeração. </t>
      </text>
    </comment>
    <comment ref="N3" authorId="10" shapeId="0" xr:uid="{5D65A6CE-72D2-4C9E-BA0C-B20836EC44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 </t>
      </text>
    </comment>
    <comment ref="O3" authorId="11" shapeId="0" xr:uid="{54616F13-1A8C-4EBB-AB14-0D1B0EE801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 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tc={DEBC1B11-7330-4837-9837-C4CE44D711B8}</author>
    <author>tc={38E40739-F63F-4492-893D-E8325C855CAA}</author>
    <author>tc={81E54894-07FA-4157-8EC8-6FF7D427036F}</author>
    <author>tc={E574B2EC-C209-4627-904D-8C02A18B28A2}</author>
    <author>tc={252486F1-487A-4D8A-8392-6533799A41AC}</author>
    <author>tc={EE368FFC-150E-4456-9066-2757B1CE7FE4}</author>
    <author>tc={3901BBA2-C98B-434A-A0FA-DE5F754B81FF}</author>
    <author>tc={6975C424-0C8B-4ECE-87AB-84ECE2A361E1}</author>
    <author>tc={4B7D7BD7-C307-4A24-8DFD-E560365DED0F}</author>
    <author>tc={6180D833-1A1D-4074-9210-DB1B2D15E148}</author>
    <author>tc={F0807127-CDCD-4DC2-962C-DDA05DD37E23}</author>
    <author>tc={9F1DB173-50C7-40A7-A045-D31D096BFDE5}</author>
  </authors>
  <commentList>
    <comment ref="B3" authorId="0" shapeId="0" xr:uid="{DEBC1B11-7330-4837-9837-C4CE44D711B8}">
      <text>
        <t>[Threaded comment]
Your version of Excel allows you to read this threaded comment; however, any edits to it will get removed if the file is opened in a newer version of Excel. Learn more: https://go.microsoft.com/fwlink/?linkid=870924
Comment:
    Inserir aqui apenas os dias de estudo planejados para esta disciplina, conforme o seu roteiro de estudos</t>
      </text>
    </comment>
    <comment ref="C3" authorId="1" shapeId="0" xr:uid="{38E40739-F63F-4492-893D-E8325C855CAA}">
      <text>
        <t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</t>
      </text>
    </comment>
    <comment ref="D3" authorId="2" shapeId="0" xr:uid="{81E54894-07FA-4157-8EC8-6FF7D42703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Aqui você deve colocar, manualmente, a quantidade de horas diárias que você realizou em sua rotina de estudos. </t>
      </text>
    </comment>
    <comment ref="E3" authorId="3" shapeId="0" xr:uid="{E574B2EC-C209-4627-904D-8C02A18B28A2}">
      <text>
        <t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</t>
      </text>
    </comment>
    <comment ref="F3" authorId="4" shapeId="0" xr:uid="{252486F1-487A-4D8A-8392-6533799A41A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Aqui você deve incluir, manualmente, a quantidade de exercícios solicitados pelo professor.
</t>
      </text>
    </comment>
    <comment ref="G3" authorId="5" shapeId="0" xr:uid="{EE368FFC-150E-4456-9066-2757B1CE7F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Essa coluna é destinada para você incluir, manualmente, a porcentagem de exercícios realizados. 
Exemplo: Tinham 10 exercícios e você fez 5, logo você realizou 50% dos exercícios que foram escolhidos para estudos naquele dia. </t>
      </text>
    </comment>
    <comment ref="H3" authorId="6" shapeId="0" xr:uid="{3901BBA2-C98B-434A-A0FA-DE5F754B81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 </t>
      </text>
    </comment>
    <comment ref="I3" authorId="7" shapeId="0" xr:uid="{6975C424-0C8B-4ECE-87AB-84ECE2A361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Aqui você deverá incluir, manualmente, a porcentagem de acertos. 
Exemplo: Você realizou uma listagem de 20 exercícios e acertou 15, logo você terá acertado 75% da listagem de exercícios realizados. 
</t>
      </text>
    </comment>
    <comment ref="J3" authorId="8" shapeId="0" xr:uid="{4B7D7BD7-C307-4A24-8DFD-E560365DED0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Já nessa coluna você deve colocar os resumos feitos. Aqui você pode escolher uma sinalização mais prática por SIM ou NÂO.  </t>
      </text>
    </comment>
    <comment ref="K3" authorId="9" shapeId="0" xr:uid="{6180D833-1A1D-4074-9210-DB1B2D15E1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Essa coluna você poderá anotar os trabalhos que necessitam de entregas e para isso terá a nomenclatura de SIM., NÃO ou NÃO SE APLICA. Entretanto você também pode sinalizar com numeração. </t>
      </text>
    </comment>
    <comment ref="N3" authorId="10" shapeId="0" xr:uid="{F0807127-CDCD-4DC2-962C-DDA05DD37E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 </t>
      </text>
    </comment>
    <comment ref="O3" authorId="11" shapeId="0" xr:uid="{9F1DB173-50C7-40A7-A045-D31D096BFD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ATENÇÃO: Essa coluna possui fórmula, portanto não é necessário mexer. </t>
      </text>
    </comment>
  </commentList>
</comments>
</file>

<file path=xl/sharedStrings.xml><?xml version="1.0" encoding="utf-8"?>
<sst xmlns="http://schemas.openxmlformats.org/spreadsheetml/2006/main" count="126" uniqueCount="23">
  <si>
    <t>MÉTRICA DE ESTUDOS</t>
  </si>
  <si>
    <t>PESQUISA E INOVAÇÃO</t>
  </si>
  <si>
    <t>Dia</t>
  </si>
  <si>
    <t>Dia da Semana</t>
  </si>
  <si>
    <t>Horas estudadas</t>
  </si>
  <si>
    <t>Horas acumuladas</t>
  </si>
  <si>
    <t>Exercícios Aplicados (qtd)</t>
  </si>
  <si>
    <t>Exercícios Realizados (%)</t>
  </si>
  <si>
    <t>Exercícios Acumulados</t>
  </si>
  <si>
    <t>Acertos (%)</t>
  </si>
  <si>
    <t xml:space="preserve">Resumos realizados </t>
  </si>
  <si>
    <t>Trabalho realizado (sim/ não/ não se aplica)</t>
  </si>
  <si>
    <t>Exercícios Realizados (qtd)</t>
  </si>
  <si>
    <t>Segunda-feira</t>
  </si>
  <si>
    <t>Terça-feira</t>
  </si>
  <si>
    <t>Quarta-feira</t>
  </si>
  <si>
    <t>Quinta-feira</t>
  </si>
  <si>
    <t>BANCO DE DADOS</t>
  </si>
  <si>
    <t>ALGORITIMOS</t>
  </si>
  <si>
    <t>TÉCNOLOGIA DA INFORMAÇÃO</t>
  </si>
  <si>
    <t>ARQUITETURA COMPUTACIONAL</t>
  </si>
  <si>
    <t>INTRODUÇÃO A SISTEMAS OPERACIONAIS</t>
  </si>
  <si>
    <t>SÓCIO EMOCIONAL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</si>
</sst>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theme="4" tint="-0.249977111117893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8A8A"/>
        <bgColor indexed="64"/>
      </patternFill>
    </fill>
    <fill>
      <patternFill patternType="solid">
        <fgColor rgb="FFFFDE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3FF7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EB66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9" fontId="0" fillId="0" borderId="0" xfId="1" applyFont="1"/>
    <xf numFmtId="0" fontId="0" fillId="0" borderId="0" xfId="0" applyAlignment="1">
      <alignment wrapText="1"/>
    </xf>
    <xf numFmtId="9" fontId="0" fillId="0" borderId="0" xfId="1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14" fontId="6" fillId="3" borderId="0" xfId="0" applyNumberFormat="1" applyFont="1" applyFill="1" applyAlignment="1">
      <alignment horizontal="center"/>
    </xf>
    <xf numFmtId="14" fontId="6" fillId="0" borderId="0" xfId="0" applyNumberFormat="1" applyFont="1" applyAlignment="1">
      <alignment horizontal="center"/>
    </xf>
    <xf numFmtId="1" fontId="6" fillId="3" borderId="0" xfId="0" applyNumberFormat="1" applyFont="1" applyFill="1" applyAlignment="1">
      <alignment horizontal="center"/>
    </xf>
    <xf numFmtId="1" fontId="6" fillId="0" borderId="0" xfId="0" applyNumberFormat="1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16" fontId="0" fillId="0" borderId="0" xfId="0" applyNumberFormat="1"/>
    <xf numFmtId="0" fontId="7" fillId="0" borderId="0" xfId="0" applyFont="1"/>
    <xf numFmtId="0" fontId="2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14">
    <dxf>
      <font>
        <strike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EB66FF"/>
      <color rgb="FF73FF7C"/>
      <color rgb="FFFFDE7D"/>
      <color rgb="FFFF8A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Horas Acumuladas de Estudos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177971906926036E-2"/>
          <c:y val="0.18171475860726063"/>
          <c:w val="0.8965732283464567"/>
          <c:h val="0.70633174509493446"/>
        </c:manualLayout>
      </c:layout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'P.I.'!$B$4:$B$27</c:f>
              <c:numCache>
                <c:formatCode>m/d/yyyy</c:formatCode>
                <c:ptCount val="24"/>
                <c:pt idx="0">
                  <c:v>45382</c:v>
                </c:pt>
                <c:pt idx="1">
                  <c:v>45389</c:v>
                </c:pt>
                <c:pt idx="2">
                  <c:v>45396</c:v>
                </c:pt>
                <c:pt idx="3">
                  <c:v>45403</c:v>
                </c:pt>
                <c:pt idx="4">
                  <c:v>45410</c:v>
                </c:pt>
                <c:pt idx="5">
                  <c:v>45417</c:v>
                </c:pt>
                <c:pt idx="6">
                  <c:v>45424</c:v>
                </c:pt>
                <c:pt idx="7">
                  <c:v>45431</c:v>
                </c:pt>
                <c:pt idx="8">
                  <c:v>45438</c:v>
                </c:pt>
                <c:pt idx="9">
                  <c:v>45445</c:v>
                </c:pt>
                <c:pt idx="10">
                  <c:v>45452</c:v>
                </c:pt>
                <c:pt idx="11">
                  <c:v>45459</c:v>
                </c:pt>
                <c:pt idx="12">
                  <c:v>45466</c:v>
                </c:pt>
              </c:numCache>
            </c:numRef>
          </c:cat>
          <c:val>
            <c:numRef>
              <c:f>'P.I.'!$E$4:$E$27</c:f>
              <c:numCache>
                <c:formatCode>General</c:formatCode>
                <c:ptCount val="24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17</c:v>
                </c:pt>
                <c:pt idx="8">
                  <c:v>19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8-43F1-976E-718714A57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7763375"/>
        <c:axId val="1987803743"/>
      </c:areaChart>
      <c:dateAx>
        <c:axId val="19877633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803743"/>
        <c:crosses val="autoZero"/>
        <c:auto val="1"/>
        <c:lblOffset val="100"/>
        <c:baseTimeUnit val="days"/>
      </c:dateAx>
      <c:valAx>
        <c:axId val="198780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63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Horas De estudos Dias da Semana.</a:t>
            </a:r>
          </a:p>
        </c:rich>
      </c:tx>
      <c:layout>
        <c:manualLayout>
          <c:xMode val="edge"/>
          <c:yMode val="edge"/>
          <c:x val="0.26272900262467191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'P.I.'!$C$4:$C$27</c:f>
              <c:strCache>
                <c:ptCount val="13"/>
                <c:pt idx="0">
                  <c:v>Sunday</c:v>
                </c:pt>
                <c:pt idx="1">
                  <c:v>Sunday</c:v>
                </c:pt>
                <c:pt idx="2">
                  <c:v>Sunday</c:v>
                </c:pt>
                <c:pt idx="3">
                  <c:v>Sunday</c:v>
                </c:pt>
                <c:pt idx="4">
                  <c:v>Sunday</c:v>
                </c:pt>
                <c:pt idx="5">
                  <c:v>Sunday</c:v>
                </c:pt>
                <c:pt idx="6">
                  <c:v>Sunday</c:v>
                </c:pt>
                <c:pt idx="7">
                  <c:v>Sunday</c:v>
                </c:pt>
                <c:pt idx="8">
                  <c:v>Sunday</c:v>
                </c:pt>
                <c:pt idx="9">
                  <c:v>Sunday</c:v>
                </c:pt>
                <c:pt idx="10">
                  <c:v>Sunday</c:v>
                </c:pt>
                <c:pt idx="11">
                  <c:v>Sunday</c:v>
                </c:pt>
                <c:pt idx="12">
                  <c:v>Sunday</c:v>
                </c:pt>
              </c:strCache>
            </c:strRef>
          </c:cat>
          <c:val>
            <c:numRef>
              <c:f>'P.I.'!$D$4:$D$27</c:f>
              <c:numCache>
                <c:formatCode>General</c:formatCode>
                <c:ptCount val="24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51-4821-AE37-43E3D37B5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7796559"/>
        <c:axId val="374843312"/>
      </c:areaChart>
      <c:catAx>
        <c:axId val="19877965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843312"/>
        <c:crosses val="autoZero"/>
        <c:auto val="1"/>
        <c:lblAlgn val="ctr"/>
        <c:lblOffset val="100"/>
        <c:noMultiLvlLbl val="0"/>
      </c:catAx>
      <c:valAx>
        <c:axId val="37484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96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'P.I.'!$O$3</c:f>
              <c:strCache>
                <c:ptCount val="1"/>
                <c:pt idx="0">
                  <c:v>Exercícios Realizados (qtd)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'P.I.'!$N$4:$N$7</c:f>
              <c:strCache>
                <c:ptCount val="4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</c:strCache>
            </c:strRef>
          </c:cat>
          <c:val>
            <c:numRef>
              <c:f>'P.I.'!$O$4:$O$7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B-455C-B4D6-92ACC97B2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8911471"/>
        <c:axId val="1488915791"/>
      </c:barChart>
      <c:catAx>
        <c:axId val="148891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915791"/>
        <c:crosses val="autoZero"/>
        <c:auto val="1"/>
        <c:lblAlgn val="ctr"/>
        <c:lblOffset val="100"/>
        <c:noMultiLvlLbl val="0"/>
      </c:catAx>
      <c:valAx>
        <c:axId val="148891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91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Horas Acumuladas de Estudos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177971906926036E-2"/>
          <c:y val="0.18171475860726063"/>
          <c:w val="0.8965732283464567"/>
          <c:h val="0.70633174509493446"/>
        </c:manualLayout>
      </c:layout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BD!$B$4:$B$27</c:f>
              <c:numCache>
                <c:formatCode>m/d/yyyy</c:formatCode>
                <c:ptCount val="24"/>
                <c:pt idx="0">
                  <c:v>45383</c:v>
                </c:pt>
                <c:pt idx="1">
                  <c:v>45390</c:v>
                </c:pt>
                <c:pt idx="2">
                  <c:v>45397</c:v>
                </c:pt>
                <c:pt idx="3">
                  <c:v>45404</c:v>
                </c:pt>
                <c:pt idx="4">
                  <c:v>45411</c:v>
                </c:pt>
                <c:pt idx="5">
                  <c:v>45418</c:v>
                </c:pt>
                <c:pt idx="6">
                  <c:v>45425</c:v>
                </c:pt>
                <c:pt idx="7">
                  <c:v>45432</c:v>
                </c:pt>
                <c:pt idx="8">
                  <c:v>45439</c:v>
                </c:pt>
                <c:pt idx="9">
                  <c:v>45446</c:v>
                </c:pt>
                <c:pt idx="10">
                  <c:v>45453</c:v>
                </c:pt>
                <c:pt idx="11">
                  <c:v>45460</c:v>
                </c:pt>
                <c:pt idx="12">
                  <c:v>45467</c:v>
                </c:pt>
              </c:numCache>
            </c:numRef>
          </c:cat>
          <c:val>
            <c:numRef>
              <c:f>BD!$E$4:$E$27</c:f>
              <c:numCache>
                <c:formatCode>General</c:formatCode>
                <c:ptCount val="24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8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15</c:v>
                </c:pt>
                <c:pt idx="8">
                  <c:v>17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59-45EB-B9FD-68B140E73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7763375"/>
        <c:axId val="1987803743"/>
      </c:areaChart>
      <c:dateAx>
        <c:axId val="19877633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803743"/>
        <c:crosses val="autoZero"/>
        <c:auto val="1"/>
        <c:lblOffset val="100"/>
        <c:baseTimeUnit val="days"/>
      </c:dateAx>
      <c:valAx>
        <c:axId val="198780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63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Horas De estudos Dias da Semana.</a:t>
            </a:r>
          </a:p>
        </c:rich>
      </c:tx>
      <c:layout>
        <c:manualLayout>
          <c:xMode val="edge"/>
          <c:yMode val="edge"/>
          <c:x val="0.26272900262467191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BD!$C$4:$C$27</c:f>
              <c:strCache>
                <c:ptCount val="13"/>
                <c:pt idx="0">
                  <c:v>Monday</c:v>
                </c:pt>
                <c:pt idx="1">
                  <c:v>Monday</c:v>
                </c:pt>
                <c:pt idx="2">
                  <c:v>Monday</c:v>
                </c:pt>
                <c:pt idx="3">
                  <c:v>Monday</c:v>
                </c:pt>
                <c:pt idx="4">
                  <c:v>Monday</c:v>
                </c:pt>
                <c:pt idx="5">
                  <c:v>Monday</c:v>
                </c:pt>
                <c:pt idx="6">
                  <c:v>Monday</c:v>
                </c:pt>
                <c:pt idx="7">
                  <c:v>Monday</c:v>
                </c:pt>
                <c:pt idx="8">
                  <c:v>Monday</c:v>
                </c:pt>
                <c:pt idx="9">
                  <c:v>Monday</c:v>
                </c:pt>
                <c:pt idx="10">
                  <c:v>Monday</c:v>
                </c:pt>
                <c:pt idx="11">
                  <c:v>Monday</c:v>
                </c:pt>
                <c:pt idx="12">
                  <c:v>Monday</c:v>
                </c:pt>
              </c:strCache>
            </c:strRef>
          </c:cat>
          <c:val>
            <c:numRef>
              <c:f>BD!$D$4:$D$27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2-4D90-BF9D-91512ADAB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7796559"/>
        <c:axId val="374843312"/>
      </c:areaChart>
      <c:catAx>
        <c:axId val="19877965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843312"/>
        <c:crosses val="autoZero"/>
        <c:auto val="1"/>
        <c:lblAlgn val="ctr"/>
        <c:lblOffset val="100"/>
        <c:noMultiLvlLbl val="0"/>
      </c:catAx>
      <c:valAx>
        <c:axId val="37484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96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BD!$O$3</c:f>
              <c:strCache>
                <c:ptCount val="1"/>
                <c:pt idx="0">
                  <c:v>Exercícios Realizados (qtd)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BD!$N$4:$N$7</c:f>
              <c:strCache>
                <c:ptCount val="4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</c:strCache>
            </c:strRef>
          </c:cat>
          <c:val>
            <c:numRef>
              <c:f>BD!$O$4:$O$7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1-4581-9ADF-134772D1B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8911471"/>
        <c:axId val="1488915791"/>
      </c:barChart>
      <c:catAx>
        <c:axId val="148891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915791"/>
        <c:crosses val="autoZero"/>
        <c:auto val="1"/>
        <c:lblAlgn val="ctr"/>
        <c:lblOffset val="100"/>
        <c:noMultiLvlLbl val="0"/>
      </c:catAx>
      <c:valAx>
        <c:axId val="148891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91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Horas Acumuladas de Estudos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177971906926036E-2"/>
          <c:y val="0.18171475860726063"/>
          <c:w val="0.8965732283464567"/>
          <c:h val="0.70633174509493446"/>
        </c:manualLayout>
      </c:layout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Algoritimo!$B$4:$B$27</c:f>
              <c:numCache>
                <c:formatCode>m/d/yyyy</c:formatCode>
                <c:ptCount val="24"/>
                <c:pt idx="0">
                  <c:v>45384</c:v>
                </c:pt>
                <c:pt idx="1">
                  <c:v>45391</c:v>
                </c:pt>
                <c:pt idx="2">
                  <c:v>45398</c:v>
                </c:pt>
                <c:pt idx="3">
                  <c:v>45405</c:v>
                </c:pt>
                <c:pt idx="4">
                  <c:v>45412</c:v>
                </c:pt>
                <c:pt idx="5">
                  <c:v>45419</c:v>
                </c:pt>
                <c:pt idx="6">
                  <c:v>45426</c:v>
                </c:pt>
                <c:pt idx="7">
                  <c:v>45433</c:v>
                </c:pt>
                <c:pt idx="8">
                  <c:v>45440</c:v>
                </c:pt>
                <c:pt idx="9">
                  <c:v>45447</c:v>
                </c:pt>
                <c:pt idx="10">
                  <c:v>45454</c:v>
                </c:pt>
                <c:pt idx="11">
                  <c:v>45461</c:v>
                </c:pt>
                <c:pt idx="12">
                  <c:v>45468</c:v>
                </c:pt>
              </c:numCache>
            </c:numRef>
          </c:cat>
          <c:val>
            <c:numRef>
              <c:f>Algoritimo!$E$4:$E$27</c:f>
              <c:numCache>
                <c:formatCode>General</c:formatCode>
                <c:ptCount val="24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17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1-4E0B-99D5-C51D2B63A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7763375"/>
        <c:axId val="1987803743"/>
      </c:areaChart>
      <c:dateAx>
        <c:axId val="19877633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803743"/>
        <c:crosses val="autoZero"/>
        <c:auto val="1"/>
        <c:lblOffset val="100"/>
        <c:baseTimeUnit val="days"/>
      </c:dateAx>
      <c:valAx>
        <c:axId val="198780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63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Horas De estudos Dias da Semana.</a:t>
            </a:r>
          </a:p>
        </c:rich>
      </c:tx>
      <c:layout>
        <c:manualLayout>
          <c:xMode val="edge"/>
          <c:yMode val="edge"/>
          <c:x val="0.26272900262467191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Algoritimo!$C$4:$C$27</c:f>
              <c:strCache>
                <c:ptCount val="13"/>
                <c:pt idx="0">
                  <c:v>Tuesday</c:v>
                </c:pt>
                <c:pt idx="1">
                  <c:v>Tuesday</c:v>
                </c:pt>
                <c:pt idx="2">
                  <c:v>Tuesday</c:v>
                </c:pt>
                <c:pt idx="3">
                  <c:v>Tuesday</c:v>
                </c:pt>
                <c:pt idx="4">
                  <c:v>Tuesday</c:v>
                </c:pt>
                <c:pt idx="5">
                  <c:v>Tuesday</c:v>
                </c:pt>
                <c:pt idx="6">
                  <c:v>Tuesday</c:v>
                </c:pt>
                <c:pt idx="7">
                  <c:v>Tuesday</c:v>
                </c:pt>
                <c:pt idx="8">
                  <c:v>Tuesday</c:v>
                </c:pt>
                <c:pt idx="9">
                  <c:v>Tuesday</c:v>
                </c:pt>
                <c:pt idx="10">
                  <c:v>Tuesday</c:v>
                </c:pt>
                <c:pt idx="11">
                  <c:v>Tuesday</c:v>
                </c:pt>
                <c:pt idx="12">
                  <c:v>Tuesday</c:v>
                </c:pt>
              </c:strCache>
            </c:strRef>
          </c:cat>
          <c:val>
            <c:numRef>
              <c:f>Algoritimo!$D$4:$D$27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6-4AAA-BE6B-EA8A27D1E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7796559"/>
        <c:axId val="374843312"/>
      </c:areaChart>
      <c:catAx>
        <c:axId val="19877965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843312"/>
        <c:crosses val="autoZero"/>
        <c:auto val="1"/>
        <c:lblAlgn val="ctr"/>
        <c:lblOffset val="100"/>
        <c:noMultiLvlLbl val="0"/>
      </c:catAx>
      <c:valAx>
        <c:axId val="37484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96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Algoritimo!$O$3</c:f>
              <c:strCache>
                <c:ptCount val="1"/>
                <c:pt idx="0">
                  <c:v>Exercícios Realizados (qtd)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Algoritimo!$N$4:$N$7</c:f>
              <c:strCache>
                <c:ptCount val="4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</c:strCache>
            </c:strRef>
          </c:cat>
          <c:val>
            <c:numRef>
              <c:f>Algoritimo!$O$4:$O$7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03-464A-A6A6-E33DFED13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8911471"/>
        <c:axId val="1488915791"/>
      </c:barChart>
      <c:catAx>
        <c:axId val="148891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915791"/>
        <c:crosses val="autoZero"/>
        <c:auto val="1"/>
        <c:lblAlgn val="ctr"/>
        <c:lblOffset val="100"/>
        <c:noMultiLvlLbl val="0"/>
      </c:catAx>
      <c:valAx>
        <c:axId val="148891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91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Horas Acumuladas de Estudos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177971906926036E-2"/>
          <c:y val="0.18171475860726063"/>
          <c:w val="0.8965732283464567"/>
          <c:h val="0.70633174509493446"/>
        </c:manualLayout>
      </c:layout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'T.I.'!$B$4:$B$27</c:f>
              <c:numCache>
                <c:formatCode>m/d/yyyy</c:formatCode>
                <c:ptCount val="24"/>
                <c:pt idx="0">
                  <c:v>45385</c:v>
                </c:pt>
                <c:pt idx="1">
                  <c:v>45392</c:v>
                </c:pt>
                <c:pt idx="2">
                  <c:v>45399</c:v>
                </c:pt>
                <c:pt idx="3">
                  <c:v>45406</c:v>
                </c:pt>
                <c:pt idx="4">
                  <c:v>45413</c:v>
                </c:pt>
                <c:pt idx="5">
                  <c:v>45420</c:v>
                </c:pt>
                <c:pt idx="6">
                  <c:v>45427</c:v>
                </c:pt>
                <c:pt idx="7">
                  <c:v>45434</c:v>
                </c:pt>
                <c:pt idx="8">
                  <c:v>45441</c:v>
                </c:pt>
                <c:pt idx="9">
                  <c:v>45448</c:v>
                </c:pt>
                <c:pt idx="10">
                  <c:v>45455</c:v>
                </c:pt>
                <c:pt idx="11">
                  <c:v>45462</c:v>
                </c:pt>
                <c:pt idx="12">
                  <c:v>45469</c:v>
                </c:pt>
              </c:numCache>
            </c:numRef>
          </c:cat>
          <c:val>
            <c:numRef>
              <c:f>'T.I.'!$E$4:$E$27</c:f>
              <c:numCache>
                <c:formatCode>General</c:formatCode>
                <c:ptCount val="24"/>
                <c:pt idx="0">
                  <c:v>3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19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2D-47C9-9CBF-C0C8392F4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7763375"/>
        <c:axId val="1987803743"/>
      </c:areaChart>
      <c:dateAx>
        <c:axId val="19877633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803743"/>
        <c:crosses val="autoZero"/>
        <c:auto val="1"/>
        <c:lblOffset val="100"/>
        <c:baseTimeUnit val="days"/>
      </c:dateAx>
      <c:valAx>
        <c:axId val="198780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63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Horas De estudos Dias da Semana.</a:t>
            </a:r>
          </a:p>
        </c:rich>
      </c:tx>
      <c:layout>
        <c:manualLayout>
          <c:xMode val="edge"/>
          <c:yMode val="edge"/>
          <c:x val="0.26272900262467191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'T.I.'!$C$4:$C$27</c:f>
              <c:strCache>
                <c:ptCount val="13"/>
                <c:pt idx="0">
                  <c:v>Wednesday</c:v>
                </c:pt>
                <c:pt idx="1">
                  <c:v>Wednesday</c:v>
                </c:pt>
                <c:pt idx="2">
                  <c:v>Wednesday</c:v>
                </c:pt>
                <c:pt idx="3">
                  <c:v>Wednesday</c:v>
                </c:pt>
                <c:pt idx="4">
                  <c:v>Wednesday</c:v>
                </c:pt>
                <c:pt idx="5">
                  <c:v>Wednesday</c:v>
                </c:pt>
                <c:pt idx="6">
                  <c:v>Wednesday</c:v>
                </c:pt>
                <c:pt idx="7">
                  <c:v>Wednesday</c:v>
                </c:pt>
                <c:pt idx="8">
                  <c:v>Wednesday</c:v>
                </c:pt>
                <c:pt idx="9">
                  <c:v>Wednesday</c:v>
                </c:pt>
                <c:pt idx="10">
                  <c:v>Wednesday</c:v>
                </c:pt>
                <c:pt idx="11">
                  <c:v>Wednesday</c:v>
                </c:pt>
                <c:pt idx="12">
                  <c:v>Wednesday</c:v>
                </c:pt>
              </c:strCache>
            </c:strRef>
          </c:cat>
          <c:val>
            <c:numRef>
              <c:f>'T.I.'!$D$4:$D$27</c:f>
              <c:numCache>
                <c:formatCode>General</c:formatCode>
                <c:ptCount val="24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8B-4860-A183-18E9E480F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7796559"/>
        <c:axId val="374843312"/>
      </c:areaChart>
      <c:catAx>
        <c:axId val="19877965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843312"/>
        <c:crosses val="autoZero"/>
        <c:auto val="1"/>
        <c:lblAlgn val="ctr"/>
        <c:lblOffset val="100"/>
        <c:noMultiLvlLbl val="0"/>
      </c:catAx>
      <c:valAx>
        <c:axId val="37484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96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'T.I.'!$O$3</c:f>
              <c:strCache>
                <c:ptCount val="1"/>
                <c:pt idx="0">
                  <c:v>Exercícios Realizados (qtd)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'T.I.'!$N$4:$N$7</c:f>
              <c:strCache>
                <c:ptCount val="4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</c:strCache>
            </c:strRef>
          </c:cat>
          <c:val>
            <c:numRef>
              <c:f>'T.I.'!$O$4:$O$7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6B-4D08-B3ED-0D4965C87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8911471"/>
        <c:axId val="1488915791"/>
      </c:barChart>
      <c:catAx>
        <c:axId val="148891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915791"/>
        <c:crosses val="autoZero"/>
        <c:auto val="1"/>
        <c:lblAlgn val="ctr"/>
        <c:lblOffset val="100"/>
        <c:noMultiLvlLbl val="0"/>
      </c:catAx>
      <c:valAx>
        <c:axId val="148891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91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Horas Acumuladas de Estudos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177971906926036E-2"/>
          <c:y val="0.18171475860726063"/>
          <c:w val="0.8965732283464567"/>
          <c:h val="0.70633174509493446"/>
        </c:manualLayout>
      </c:layout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Arq.Comp!$B$4:$B$27</c:f>
              <c:numCache>
                <c:formatCode>m/d/yyyy</c:formatCode>
                <c:ptCount val="24"/>
                <c:pt idx="0">
                  <c:v>45386</c:v>
                </c:pt>
                <c:pt idx="1">
                  <c:v>45393</c:v>
                </c:pt>
                <c:pt idx="2">
                  <c:v>45400</c:v>
                </c:pt>
                <c:pt idx="3">
                  <c:v>45407</c:v>
                </c:pt>
                <c:pt idx="4">
                  <c:v>45414</c:v>
                </c:pt>
                <c:pt idx="5">
                  <c:v>45421</c:v>
                </c:pt>
                <c:pt idx="6">
                  <c:v>45428</c:v>
                </c:pt>
                <c:pt idx="7">
                  <c:v>45435</c:v>
                </c:pt>
                <c:pt idx="8">
                  <c:v>45442</c:v>
                </c:pt>
                <c:pt idx="9">
                  <c:v>45449</c:v>
                </c:pt>
                <c:pt idx="10">
                  <c:v>45456</c:v>
                </c:pt>
                <c:pt idx="11">
                  <c:v>45463</c:v>
                </c:pt>
                <c:pt idx="12">
                  <c:v>45470</c:v>
                </c:pt>
              </c:numCache>
            </c:numRef>
          </c:cat>
          <c:val>
            <c:numRef>
              <c:f>Arq.Comp!$E$4:$E$27</c:f>
              <c:numCache>
                <c:formatCode>General</c:formatCode>
                <c:ptCount val="24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8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15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6C-40B6-8405-BB63BA2D0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7763375"/>
        <c:axId val="1987803743"/>
      </c:areaChart>
      <c:dateAx>
        <c:axId val="19877633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803743"/>
        <c:crosses val="autoZero"/>
        <c:auto val="1"/>
        <c:lblOffset val="100"/>
        <c:baseTimeUnit val="days"/>
      </c:dateAx>
      <c:valAx>
        <c:axId val="198780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63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Horas De estudos Dias da Semana.</a:t>
            </a:r>
          </a:p>
        </c:rich>
      </c:tx>
      <c:layout>
        <c:manualLayout>
          <c:xMode val="edge"/>
          <c:yMode val="edge"/>
          <c:x val="0.26272900262467191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Arq.Comp!$C$4:$C$27</c:f>
              <c:strCache>
                <c:ptCount val="13"/>
                <c:pt idx="0">
                  <c:v>Thursday</c:v>
                </c:pt>
                <c:pt idx="1">
                  <c:v>Thursday</c:v>
                </c:pt>
                <c:pt idx="2">
                  <c:v>Thursday</c:v>
                </c:pt>
                <c:pt idx="3">
                  <c:v>Thursday</c:v>
                </c:pt>
                <c:pt idx="4">
                  <c:v>Thursday</c:v>
                </c:pt>
                <c:pt idx="5">
                  <c:v>Thursday</c:v>
                </c:pt>
                <c:pt idx="6">
                  <c:v>Thursday</c:v>
                </c:pt>
                <c:pt idx="7">
                  <c:v>Thursday</c:v>
                </c:pt>
                <c:pt idx="8">
                  <c:v>Thursday</c:v>
                </c:pt>
                <c:pt idx="9">
                  <c:v>Thursday</c:v>
                </c:pt>
                <c:pt idx="10">
                  <c:v>Thursday</c:v>
                </c:pt>
                <c:pt idx="11">
                  <c:v>Thursday</c:v>
                </c:pt>
                <c:pt idx="12">
                  <c:v>Thursday</c:v>
                </c:pt>
              </c:strCache>
            </c:strRef>
          </c:cat>
          <c:val>
            <c:numRef>
              <c:f>Arq.Comp!$D$4:$D$27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07-4173-AEA0-2AB5F8150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7796559"/>
        <c:axId val="374843312"/>
      </c:areaChart>
      <c:catAx>
        <c:axId val="19877965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843312"/>
        <c:crosses val="autoZero"/>
        <c:auto val="1"/>
        <c:lblAlgn val="ctr"/>
        <c:lblOffset val="100"/>
        <c:noMultiLvlLbl val="0"/>
      </c:catAx>
      <c:valAx>
        <c:axId val="37484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96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Arq.Comp!$O$3</c:f>
              <c:strCache>
                <c:ptCount val="1"/>
                <c:pt idx="0">
                  <c:v>Exercícios Realizados (qtd)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Arq.Comp!$N$4:$N$7</c:f>
              <c:strCache>
                <c:ptCount val="4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</c:strCache>
            </c:strRef>
          </c:cat>
          <c:val>
            <c:numRef>
              <c:f>Arq.Comp!$O$4:$O$7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3-4F4C-BA32-C81640BA1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8911471"/>
        <c:axId val="1488915791"/>
      </c:barChart>
      <c:catAx>
        <c:axId val="148891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915791"/>
        <c:crosses val="autoZero"/>
        <c:auto val="1"/>
        <c:lblAlgn val="ctr"/>
        <c:lblOffset val="100"/>
        <c:noMultiLvlLbl val="0"/>
      </c:catAx>
      <c:valAx>
        <c:axId val="148891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91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Horas Acumuladas de Estudos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177971906926036E-2"/>
          <c:y val="0.18171475860726063"/>
          <c:w val="0.8965732283464567"/>
          <c:h val="0.70633174509493446"/>
        </c:manualLayout>
      </c:layout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'S.O.'!$B$4:$B$27</c:f>
              <c:numCache>
                <c:formatCode>m/d/yyyy</c:formatCode>
                <c:ptCount val="24"/>
                <c:pt idx="0">
                  <c:v>45387</c:v>
                </c:pt>
                <c:pt idx="1">
                  <c:v>45394</c:v>
                </c:pt>
                <c:pt idx="2">
                  <c:v>45401</c:v>
                </c:pt>
                <c:pt idx="3">
                  <c:v>45408</c:v>
                </c:pt>
                <c:pt idx="4">
                  <c:v>45415</c:v>
                </c:pt>
                <c:pt idx="5">
                  <c:v>45422</c:v>
                </c:pt>
                <c:pt idx="6">
                  <c:v>45429</c:v>
                </c:pt>
                <c:pt idx="7">
                  <c:v>45436</c:v>
                </c:pt>
                <c:pt idx="8">
                  <c:v>45443</c:v>
                </c:pt>
                <c:pt idx="9">
                  <c:v>45450</c:v>
                </c:pt>
                <c:pt idx="10">
                  <c:v>45457</c:v>
                </c:pt>
                <c:pt idx="11">
                  <c:v>45464</c:v>
                </c:pt>
                <c:pt idx="12">
                  <c:v>45471</c:v>
                </c:pt>
              </c:numCache>
            </c:numRef>
          </c:cat>
          <c:val>
            <c:numRef>
              <c:f>'S.O.'!$E$4:$E$27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6</c:v>
                </c:pt>
                <c:pt idx="3">
                  <c:v>8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91-45A1-9CF9-6ECFAD3ED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7763375"/>
        <c:axId val="1987803743"/>
      </c:areaChart>
      <c:dateAx>
        <c:axId val="19877633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803743"/>
        <c:crosses val="autoZero"/>
        <c:auto val="1"/>
        <c:lblOffset val="100"/>
        <c:baseTimeUnit val="days"/>
      </c:dateAx>
      <c:valAx>
        <c:axId val="198780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63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Horas De estudos Dias da Semana.</a:t>
            </a:r>
          </a:p>
        </c:rich>
      </c:tx>
      <c:layout>
        <c:manualLayout>
          <c:xMode val="edge"/>
          <c:yMode val="edge"/>
          <c:x val="0.26272900262467191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'S.O.'!$C$4:$C$27</c:f>
              <c:strCache>
                <c:ptCount val="13"/>
                <c:pt idx="0">
                  <c:v>Friday</c:v>
                </c:pt>
                <c:pt idx="1">
                  <c:v>Friday</c:v>
                </c:pt>
                <c:pt idx="2">
                  <c:v>Friday</c:v>
                </c:pt>
                <c:pt idx="3">
                  <c:v>Friday</c:v>
                </c:pt>
                <c:pt idx="4">
                  <c:v>Friday</c:v>
                </c:pt>
                <c:pt idx="5">
                  <c:v>Friday</c:v>
                </c:pt>
                <c:pt idx="6">
                  <c:v>Friday</c:v>
                </c:pt>
                <c:pt idx="7">
                  <c:v>Friday</c:v>
                </c:pt>
                <c:pt idx="8">
                  <c:v>Friday</c:v>
                </c:pt>
                <c:pt idx="9">
                  <c:v>Friday</c:v>
                </c:pt>
                <c:pt idx="10">
                  <c:v>Friday</c:v>
                </c:pt>
                <c:pt idx="11">
                  <c:v>Friday</c:v>
                </c:pt>
                <c:pt idx="12">
                  <c:v>Friday</c:v>
                </c:pt>
              </c:strCache>
            </c:strRef>
          </c:cat>
          <c:val>
            <c:numRef>
              <c:f>'S.O.'!$D$4:$D$27</c:f>
              <c:numCache>
                <c:formatCode>General</c:formatCode>
                <c:ptCount val="24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AD-43F4-A597-377C5F8EB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7796559"/>
        <c:axId val="374843312"/>
      </c:areaChart>
      <c:catAx>
        <c:axId val="19877965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843312"/>
        <c:crosses val="autoZero"/>
        <c:auto val="1"/>
        <c:lblAlgn val="ctr"/>
        <c:lblOffset val="100"/>
        <c:noMultiLvlLbl val="0"/>
      </c:catAx>
      <c:valAx>
        <c:axId val="37484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96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'S.O.'!$O$3</c:f>
              <c:strCache>
                <c:ptCount val="1"/>
                <c:pt idx="0">
                  <c:v>Exercícios Realizados (qtd)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'S.O.'!$N$4:$N$7</c:f>
              <c:strCache>
                <c:ptCount val="4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</c:strCache>
            </c:strRef>
          </c:cat>
          <c:val>
            <c:numRef>
              <c:f>'S.O.'!$O$4:$O$7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2-4BFA-8D5A-358D4D239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8911471"/>
        <c:axId val="1488915791"/>
      </c:barChart>
      <c:catAx>
        <c:axId val="148891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915791"/>
        <c:crosses val="autoZero"/>
        <c:auto val="1"/>
        <c:lblAlgn val="ctr"/>
        <c:lblOffset val="100"/>
        <c:noMultiLvlLbl val="0"/>
      </c:catAx>
      <c:valAx>
        <c:axId val="148891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91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Horas Acumuladas de Estudos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177971906926036E-2"/>
          <c:y val="0.18171475860726063"/>
          <c:w val="0.8965732283464567"/>
          <c:h val="0.70633174509493446"/>
        </c:manualLayout>
      </c:layout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'Sócio. E.'!$B$4:$B$27</c:f>
              <c:numCache>
                <c:formatCode>m/d/yyyy</c:formatCode>
                <c:ptCount val="24"/>
                <c:pt idx="0">
                  <c:v>45388</c:v>
                </c:pt>
                <c:pt idx="1">
                  <c:v>45395</c:v>
                </c:pt>
                <c:pt idx="2">
                  <c:v>45402</c:v>
                </c:pt>
                <c:pt idx="3">
                  <c:v>45409</c:v>
                </c:pt>
                <c:pt idx="4">
                  <c:v>45416</c:v>
                </c:pt>
                <c:pt idx="5">
                  <c:v>45423</c:v>
                </c:pt>
                <c:pt idx="6">
                  <c:v>45430</c:v>
                </c:pt>
                <c:pt idx="7">
                  <c:v>45437</c:v>
                </c:pt>
                <c:pt idx="8">
                  <c:v>45444</c:v>
                </c:pt>
                <c:pt idx="9">
                  <c:v>45451</c:v>
                </c:pt>
                <c:pt idx="10">
                  <c:v>45458</c:v>
                </c:pt>
                <c:pt idx="11">
                  <c:v>45465</c:v>
                </c:pt>
                <c:pt idx="12">
                  <c:v>45472</c:v>
                </c:pt>
              </c:numCache>
            </c:numRef>
          </c:cat>
          <c:val>
            <c:numRef>
              <c:f>'Sócio. E.'!$E$4:$E$27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37-4EA6-98DF-A3363587B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7763375"/>
        <c:axId val="1987803743"/>
      </c:areaChart>
      <c:dateAx>
        <c:axId val="19877633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803743"/>
        <c:crosses val="autoZero"/>
        <c:auto val="1"/>
        <c:lblOffset val="100"/>
        <c:baseTimeUnit val="days"/>
      </c:dateAx>
      <c:valAx>
        <c:axId val="198780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63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Horas De estudos Dias da Semana.</a:t>
            </a:r>
          </a:p>
        </c:rich>
      </c:tx>
      <c:layout>
        <c:manualLayout>
          <c:xMode val="edge"/>
          <c:yMode val="edge"/>
          <c:x val="0.26272900262467191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'Sócio. E.'!$C$4:$C$27</c:f>
              <c:strCache>
                <c:ptCount val="13"/>
                <c:pt idx="0">
                  <c:v>Saturday</c:v>
                </c:pt>
                <c:pt idx="1">
                  <c:v>Saturday</c:v>
                </c:pt>
                <c:pt idx="2">
                  <c:v>Saturday</c:v>
                </c:pt>
                <c:pt idx="3">
                  <c:v>Saturday</c:v>
                </c:pt>
                <c:pt idx="4">
                  <c:v>Saturday</c:v>
                </c:pt>
                <c:pt idx="5">
                  <c:v>Saturday</c:v>
                </c:pt>
                <c:pt idx="6">
                  <c:v>Saturday</c:v>
                </c:pt>
                <c:pt idx="7">
                  <c:v>Saturday</c:v>
                </c:pt>
                <c:pt idx="8">
                  <c:v>Saturday</c:v>
                </c:pt>
                <c:pt idx="9">
                  <c:v>Saturday</c:v>
                </c:pt>
                <c:pt idx="10">
                  <c:v>Saturday</c:v>
                </c:pt>
                <c:pt idx="11">
                  <c:v>Saturday</c:v>
                </c:pt>
                <c:pt idx="12">
                  <c:v>Saturday</c:v>
                </c:pt>
              </c:strCache>
            </c:strRef>
          </c:cat>
          <c:val>
            <c:numRef>
              <c:f>'Sócio. E.'!$D$4:$D$27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0-4C1A-AC93-B90D903F1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7796559"/>
        <c:axId val="374843312"/>
      </c:areaChart>
      <c:catAx>
        <c:axId val="19877965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843312"/>
        <c:crosses val="autoZero"/>
        <c:auto val="1"/>
        <c:lblAlgn val="ctr"/>
        <c:lblOffset val="100"/>
        <c:noMultiLvlLbl val="0"/>
      </c:catAx>
      <c:valAx>
        <c:axId val="37484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96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'Sócio. E.'!$O$3</c:f>
              <c:strCache>
                <c:ptCount val="1"/>
                <c:pt idx="0">
                  <c:v>Exercícios Realizados (qtd)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'Sócio. E.'!$N$4:$N$7</c:f>
              <c:strCache>
                <c:ptCount val="4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</c:strCache>
            </c:strRef>
          </c:cat>
          <c:val>
            <c:numRef>
              <c:f>'Sócio. E.'!$O$4:$O$7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E6-4235-A4B4-35397D9A8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8911471"/>
        <c:axId val="1488915791"/>
      </c:barChart>
      <c:catAx>
        <c:axId val="148891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915791"/>
        <c:crosses val="autoZero"/>
        <c:auto val="1"/>
        <c:lblAlgn val="ctr"/>
        <c:lblOffset val="100"/>
        <c:noMultiLvlLbl val="0"/>
      </c:catAx>
      <c:valAx>
        <c:axId val="148891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91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88900</xdr:colOff>
      <xdr:row>31</xdr:row>
      <xdr:rowOff>196850</xdr:rowOff>
    </xdr:from>
    <xdr:to>
      <xdr:col>9</xdr:col>
      <xdr:colOff>285750</xdr:colOff>
      <xdr:row>52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BCF6A-66A8-4020-A727-30C5996B9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825500</xdr:colOff>
      <xdr:row>32</xdr:row>
      <xdr:rowOff>3175</xdr:rowOff>
    </xdr:from>
    <xdr:to>
      <xdr:col>4</xdr:col>
      <xdr:colOff>1257300</xdr:colOff>
      <xdr:row>45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DBD6FA-6CBA-43A7-BA3F-763F890EE46C}"/>
            </a:ext>
            <a:ext uri="{147F2762-F138-4A5C-976F-8EAC2B608ADB}">
              <a16:predDERef xmlns:a16="http://schemas.microsoft.com/office/drawing/2014/main" pred="{52FBCF6A-66A8-4020-A727-30C5996B9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928687</xdr:colOff>
      <xdr:row>34</xdr:row>
      <xdr:rowOff>133350</xdr:rowOff>
    </xdr:from>
    <xdr:to>
      <xdr:col>13</xdr:col>
      <xdr:colOff>661987</xdr:colOff>
      <xdr:row>48</xdr:row>
      <xdr:rowOff>57150</xdr:rowOff>
    </xdr:to>
    <xdr:graphicFrame macro="">
      <xdr:nvGraphicFramePr>
        <xdr:cNvPr id="4" name="Gráfico 4">
          <a:extLst>
            <a:ext uri="{FF2B5EF4-FFF2-40B4-BE49-F238E27FC236}">
              <a16:creationId xmlns:a16="http://schemas.microsoft.com/office/drawing/2014/main" id="{3064E398-C32B-48C4-AC02-E6F82BBDFBB1}"/>
            </a:ext>
            <a:ext uri="{147F2762-F138-4A5C-976F-8EAC2B608ADB}">
              <a16:predDERef xmlns:a16="http://schemas.microsoft.com/office/drawing/2014/main" pred="{C1DBD6FA-6CBA-43A7-BA3F-763F890EE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88900</xdr:colOff>
      <xdr:row>31</xdr:row>
      <xdr:rowOff>196850</xdr:rowOff>
    </xdr:from>
    <xdr:to>
      <xdr:col>9</xdr:col>
      <xdr:colOff>285750</xdr:colOff>
      <xdr:row>52</xdr:row>
      <xdr:rowOff>104775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6792243F-73AB-46DC-A6C7-40F7574FA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825500</xdr:colOff>
      <xdr:row>32</xdr:row>
      <xdr:rowOff>3175</xdr:rowOff>
    </xdr:from>
    <xdr:to>
      <xdr:col>4</xdr:col>
      <xdr:colOff>1257300</xdr:colOff>
      <xdr:row>45</xdr:row>
      <xdr:rowOff>101600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EB9ADED6-4C1A-44BC-A4FC-9601ACE9C48D}"/>
            </a:ext>
            <a:ext uri="{147F2762-F138-4A5C-976F-8EAC2B608ADB}">
              <a16:predDERef xmlns:a16="http://schemas.microsoft.com/office/drawing/2014/main" pred="{6792243F-73AB-46DC-A6C7-40F7574FA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928687</xdr:colOff>
      <xdr:row>34</xdr:row>
      <xdr:rowOff>133350</xdr:rowOff>
    </xdr:from>
    <xdr:to>
      <xdr:col>13</xdr:col>
      <xdr:colOff>661987</xdr:colOff>
      <xdr:row>48</xdr:row>
      <xdr:rowOff>57150</xdr:rowOff>
    </xdr:to>
    <xdr:graphicFrame macro="">
      <xdr:nvGraphicFramePr>
        <xdr:cNvPr id="12" name="Gráfico 4">
          <a:extLst>
            <a:ext uri="{FF2B5EF4-FFF2-40B4-BE49-F238E27FC236}">
              <a16:creationId xmlns:a16="http://schemas.microsoft.com/office/drawing/2014/main" id="{E04879FA-CDA7-4790-B8C1-D5A92016E693}"/>
            </a:ext>
            <a:ext uri="{147F2762-F138-4A5C-976F-8EAC2B608ADB}">
              <a16:predDERef xmlns:a16="http://schemas.microsoft.com/office/drawing/2014/main" pred="{EB9ADED6-4C1A-44BC-A4FC-9601ACE9C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88900</xdr:colOff>
      <xdr:row>31</xdr:row>
      <xdr:rowOff>196850</xdr:rowOff>
    </xdr:from>
    <xdr:to>
      <xdr:col>9</xdr:col>
      <xdr:colOff>285750</xdr:colOff>
      <xdr:row>52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E090B3-C65A-43EE-B751-2A3177B74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825500</xdr:colOff>
      <xdr:row>32</xdr:row>
      <xdr:rowOff>3175</xdr:rowOff>
    </xdr:from>
    <xdr:to>
      <xdr:col>4</xdr:col>
      <xdr:colOff>1257300</xdr:colOff>
      <xdr:row>45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232F59-8CF9-4432-9AB0-9F8E9F5993C9}"/>
            </a:ext>
            <a:ext uri="{147F2762-F138-4A5C-976F-8EAC2B608ADB}">
              <a16:predDERef xmlns:a16="http://schemas.microsoft.com/office/drawing/2014/main" pred="{00E090B3-C65A-43EE-B751-2A3177B74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928687</xdr:colOff>
      <xdr:row>34</xdr:row>
      <xdr:rowOff>133350</xdr:rowOff>
    </xdr:from>
    <xdr:to>
      <xdr:col>13</xdr:col>
      <xdr:colOff>661987</xdr:colOff>
      <xdr:row>48</xdr:row>
      <xdr:rowOff>57150</xdr:rowOff>
    </xdr:to>
    <xdr:graphicFrame macro="">
      <xdr:nvGraphicFramePr>
        <xdr:cNvPr id="4" name="Gráfico 4">
          <a:extLst>
            <a:ext uri="{FF2B5EF4-FFF2-40B4-BE49-F238E27FC236}">
              <a16:creationId xmlns:a16="http://schemas.microsoft.com/office/drawing/2014/main" id="{D47F207B-4804-4EC0-84E5-805C2F72E389}"/>
            </a:ext>
            <a:ext uri="{147F2762-F138-4A5C-976F-8EAC2B608ADB}">
              <a16:predDERef xmlns:a16="http://schemas.microsoft.com/office/drawing/2014/main" pred="{D0232F59-8CF9-4432-9AB0-9F8E9F5993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88900</xdr:colOff>
      <xdr:row>31</xdr:row>
      <xdr:rowOff>196850</xdr:rowOff>
    </xdr:from>
    <xdr:to>
      <xdr:col>9</xdr:col>
      <xdr:colOff>285750</xdr:colOff>
      <xdr:row>52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102B1E-B5F7-45DF-B740-6D0CAE8BE6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825500</xdr:colOff>
      <xdr:row>32</xdr:row>
      <xdr:rowOff>3175</xdr:rowOff>
    </xdr:from>
    <xdr:to>
      <xdr:col>4</xdr:col>
      <xdr:colOff>1257300</xdr:colOff>
      <xdr:row>45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5C5C46-450D-495E-B816-E2D56FEB5B12}"/>
            </a:ext>
            <a:ext uri="{147F2762-F138-4A5C-976F-8EAC2B608ADB}">
              <a16:predDERef xmlns:a16="http://schemas.microsoft.com/office/drawing/2014/main" pred="{BA102B1E-B5F7-45DF-B740-6D0CAE8BE6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928687</xdr:colOff>
      <xdr:row>34</xdr:row>
      <xdr:rowOff>133350</xdr:rowOff>
    </xdr:from>
    <xdr:to>
      <xdr:col>13</xdr:col>
      <xdr:colOff>661987</xdr:colOff>
      <xdr:row>48</xdr:row>
      <xdr:rowOff>57150</xdr:rowOff>
    </xdr:to>
    <xdr:graphicFrame macro="">
      <xdr:nvGraphicFramePr>
        <xdr:cNvPr id="4" name="Gráfico 4">
          <a:extLst>
            <a:ext uri="{FF2B5EF4-FFF2-40B4-BE49-F238E27FC236}">
              <a16:creationId xmlns:a16="http://schemas.microsoft.com/office/drawing/2014/main" id="{55CA59FA-A98E-4D5F-A002-8298F5DF17BC}"/>
            </a:ext>
            <a:ext uri="{147F2762-F138-4A5C-976F-8EAC2B608ADB}">
              <a16:predDERef xmlns:a16="http://schemas.microsoft.com/office/drawing/2014/main" pred="{015C5C46-450D-495E-B816-E2D56FEB5B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88900</xdr:colOff>
      <xdr:row>31</xdr:row>
      <xdr:rowOff>196850</xdr:rowOff>
    </xdr:from>
    <xdr:to>
      <xdr:col>9</xdr:col>
      <xdr:colOff>285750</xdr:colOff>
      <xdr:row>52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E42E7F-2104-47F1-8784-1FC4E34850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825500</xdr:colOff>
      <xdr:row>32</xdr:row>
      <xdr:rowOff>3175</xdr:rowOff>
    </xdr:from>
    <xdr:to>
      <xdr:col>4</xdr:col>
      <xdr:colOff>1257300</xdr:colOff>
      <xdr:row>45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EA0014-32E0-4212-BF8D-57605EEB8275}"/>
            </a:ext>
            <a:ext uri="{147F2762-F138-4A5C-976F-8EAC2B608ADB}">
              <a16:predDERef xmlns:a16="http://schemas.microsoft.com/office/drawing/2014/main" pred="{27E42E7F-2104-47F1-8784-1FC4E34850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928687</xdr:colOff>
      <xdr:row>34</xdr:row>
      <xdr:rowOff>133350</xdr:rowOff>
    </xdr:from>
    <xdr:to>
      <xdr:col>13</xdr:col>
      <xdr:colOff>661987</xdr:colOff>
      <xdr:row>48</xdr:row>
      <xdr:rowOff>57150</xdr:rowOff>
    </xdr:to>
    <xdr:graphicFrame macro="">
      <xdr:nvGraphicFramePr>
        <xdr:cNvPr id="4" name="Gráfico 4">
          <a:extLst>
            <a:ext uri="{FF2B5EF4-FFF2-40B4-BE49-F238E27FC236}">
              <a16:creationId xmlns:a16="http://schemas.microsoft.com/office/drawing/2014/main" id="{59B0C4D1-2311-4960-BD47-9AD1EEBDFDCF}"/>
            </a:ext>
            <a:ext uri="{147F2762-F138-4A5C-976F-8EAC2B608ADB}">
              <a16:predDERef xmlns:a16="http://schemas.microsoft.com/office/drawing/2014/main" pred="{DBEA0014-32E0-4212-BF8D-57605EEB82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88900</xdr:colOff>
      <xdr:row>31</xdr:row>
      <xdr:rowOff>196850</xdr:rowOff>
    </xdr:from>
    <xdr:to>
      <xdr:col>9</xdr:col>
      <xdr:colOff>285750</xdr:colOff>
      <xdr:row>52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B141E8-68A0-4AA9-BD60-F2BFE54821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825500</xdr:colOff>
      <xdr:row>32</xdr:row>
      <xdr:rowOff>3175</xdr:rowOff>
    </xdr:from>
    <xdr:to>
      <xdr:col>4</xdr:col>
      <xdr:colOff>1257300</xdr:colOff>
      <xdr:row>45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521A08-E943-4DC8-8553-B90292513E41}"/>
            </a:ext>
            <a:ext uri="{147F2762-F138-4A5C-976F-8EAC2B608ADB}">
              <a16:predDERef xmlns:a16="http://schemas.microsoft.com/office/drawing/2014/main" pred="{8AB141E8-68A0-4AA9-BD60-F2BFE54821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928687</xdr:colOff>
      <xdr:row>34</xdr:row>
      <xdr:rowOff>133350</xdr:rowOff>
    </xdr:from>
    <xdr:to>
      <xdr:col>13</xdr:col>
      <xdr:colOff>661987</xdr:colOff>
      <xdr:row>48</xdr:row>
      <xdr:rowOff>57150</xdr:rowOff>
    </xdr:to>
    <xdr:graphicFrame macro="">
      <xdr:nvGraphicFramePr>
        <xdr:cNvPr id="4" name="Gráfico 4">
          <a:extLst>
            <a:ext uri="{FF2B5EF4-FFF2-40B4-BE49-F238E27FC236}">
              <a16:creationId xmlns:a16="http://schemas.microsoft.com/office/drawing/2014/main" id="{AFC640EF-30B4-427C-9C40-CFB5E29B5E9F}"/>
            </a:ext>
            <a:ext uri="{147F2762-F138-4A5C-976F-8EAC2B608ADB}">
              <a16:predDERef xmlns:a16="http://schemas.microsoft.com/office/drawing/2014/main" pred="{9C521A08-E943-4DC8-8553-B90292513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88900</xdr:colOff>
      <xdr:row>31</xdr:row>
      <xdr:rowOff>196850</xdr:rowOff>
    </xdr:from>
    <xdr:to>
      <xdr:col>9</xdr:col>
      <xdr:colOff>285750</xdr:colOff>
      <xdr:row>52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590115-C6C6-4766-A3DF-2F75850ED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825500</xdr:colOff>
      <xdr:row>32</xdr:row>
      <xdr:rowOff>3175</xdr:rowOff>
    </xdr:from>
    <xdr:to>
      <xdr:col>4</xdr:col>
      <xdr:colOff>1257300</xdr:colOff>
      <xdr:row>45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E5BF09-9767-4F83-B66B-FB9309A0A896}"/>
            </a:ext>
            <a:ext uri="{147F2762-F138-4A5C-976F-8EAC2B608ADB}">
              <a16:predDERef xmlns:a16="http://schemas.microsoft.com/office/drawing/2014/main" pred="{0C590115-C6C6-4766-A3DF-2F75850ED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928687</xdr:colOff>
      <xdr:row>34</xdr:row>
      <xdr:rowOff>133350</xdr:rowOff>
    </xdr:from>
    <xdr:to>
      <xdr:col>13</xdr:col>
      <xdr:colOff>661987</xdr:colOff>
      <xdr:row>48</xdr:row>
      <xdr:rowOff>57150</xdr:rowOff>
    </xdr:to>
    <xdr:graphicFrame macro="">
      <xdr:nvGraphicFramePr>
        <xdr:cNvPr id="4" name="Gráfico 4">
          <a:extLst>
            <a:ext uri="{FF2B5EF4-FFF2-40B4-BE49-F238E27FC236}">
              <a16:creationId xmlns:a16="http://schemas.microsoft.com/office/drawing/2014/main" id="{AF11660D-E11D-468E-8830-D494285EC84A}"/>
            </a:ext>
            <a:ext uri="{147F2762-F138-4A5C-976F-8EAC2B608ADB}">
              <a16:predDERef xmlns:a16="http://schemas.microsoft.com/office/drawing/2014/main" pred="{53E5BF09-9767-4F83-B66B-FB9309A0A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atrícia de Melo Gonçalves" id="{C02963BB-4F6D-48A8-9307-03E71BBD61A7}" userId="S::patricia.goncalves@sptech.school::dbdd0f5d-8a68-47f6-ae81-3391edc9db0c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922116-5549-40A4-B919-744DC7624A93}" name="Table223" displayName="Table223" ref="B3:K30" totalsRowShown="0" headerRowDxfId="13">
  <autoFilter ref="B3:K30" xr:uid="{36AEF2CA-07CE-684E-9830-D8EDF94883BF}"/>
  <tableColumns count="10">
    <tableColumn id="1" xr3:uid="{B8A70C8F-7B14-4421-ACD7-897DE1666836}" name="Dia"/>
    <tableColumn id="2" xr3:uid="{43408F4E-0A86-425A-A534-79F407C6C0BE}" name="Dia da Semana"/>
    <tableColumn id="3" xr3:uid="{0C59DC74-C4C6-4955-9859-45045F527231}" name="Horas estudadas"/>
    <tableColumn id="11" xr3:uid="{CC36759B-0810-4702-B9BF-EBDC6E38CF34}" name="Horas acumuladas" dataDxfId="12"/>
    <tableColumn id="4" xr3:uid="{5164BD28-E9EC-48BF-8EBD-B08D98A297D2}" name="Exercícios Aplicados (qtd)"/>
    <tableColumn id="5" xr3:uid="{2EAACBAF-5154-4CF4-83C0-6AA6DD320314}" name="Exercícios Realizados (%)"/>
    <tableColumn id="12" xr3:uid="{42FC1E5A-3E04-426A-96E7-E97C6CFF396E}" name="Exercícios Acumulados"/>
    <tableColumn id="6" xr3:uid="{21E9CFA4-55DF-4FD9-8786-E3FD6637BD0E}" name="Acertos (%)"/>
    <tableColumn id="7" xr3:uid="{B583D291-9F59-4E4C-979C-E8A9212E48D9}" name="Resumos realizados "/>
    <tableColumn id="8" xr3:uid="{95EC4496-53D5-46B1-AC60-9AB5DF4A6C95}" name="Trabalho realizado (sim/ não/ não se aplica)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F9FF30-F3A5-470F-BB3F-857F4000D7D6}" name="Table22" displayName="Table22" ref="B3:K30" totalsRowShown="0" headerRowDxfId="11">
  <autoFilter ref="B3:K30" xr:uid="{36AEF2CA-07CE-684E-9830-D8EDF94883BF}"/>
  <tableColumns count="10">
    <tableColumn id="1" xr3:uid="{0F51EEE7-32AC-45B0-A614-36000CF066A2}" name="Dia"/>
    <tableColumn id="2" xr3:uid="{C333B3E4-E1C2-4194-B9D0-B1128A493CE1}" name="Dia da Semana"/>
    <tableColumn id="3" xr3:uid="{335C94F2-323A-4C2E-ABCE-B600010D60A8}" name="Horas estudadas"/>
    <tableColumn id="11" xr3:uid="{51643FB8-9FC1-49B6-84EF-ED48C0CB7332}" name="Horas acumuladas" dataDxfId="10"/>
    <tableColumn id="4" xr3:uid="{CCF0AC1D-2CCD-4C4A-B714-837998FC4C42}" name="Exercícios Aplicados (qtd)"/>
    <tableColumn id="5" xr3:uid="{018BA2C9-1CAC-484A-B1D5-B4C8180A0B6E}" name="Exercícios Realizados (%)"/>
    <tableColumn id="12" xr3:uid="{BEBBCCD0-F4F8-4011-8B29-42DF4B41996E}" name="Exercícios Acumulados"/>
    <tableColumn id="6" xr3:uid="{0040DDFD-DF6A-48C2-8684-AE8316911088}" name="Acertos (%)"/>
    <tableColumn id="7" xr3:uid="{C4042A0E-A6D1-41E4-9CE9-773B50AFD06E}" name="Resumos realizados "/>
    <tableColumn id="8" xr3:uid="{050DED18-AB59-464C-A8A7-0F1685C96733}" name="Trabalho realizado (sim/ não/ não se aplica)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5834078-94DA-473F-99E5-C9D52F320F76}" name="Table2234567" displayName="Table2234567" ref="B3:K30" totalsRowShown="0" headerRowDxfId="9">
  <autoFilter ref="B3:K30" xr:uid="{36AEF2CA-07CE-684E-9830-D8EDF94883BF}"/>
  <tableColumns count="10">
    <tableColumn id="1" xr3:uid="{44C79C38-8C69-4A8D-B7DF-FBF2224DA992}" name="Dia"/>
    <tableColumn id="2" xr3:uid="{618DEEB6-5EDA-4626-AE3C-DF6D18B70BEA}" name="Dia da Semana"/>
    <tableColumn id="3" xr3:uid="{3956B00D-5C42-42E1-9D73-04405450B0AD}" name="Horas estudadas"/>
    <tableColumn id="11" xr3:uid="{3ED62484-7FED-40D1-9B8E-617FF4F96A6B}" name="Horas acumuladas" dataDxfId="8"/>
    <tableColumn id="4" xr3:uid="{E44630C6-EC5C-46A1-9085-0968B6DE0499}" name="Exercícios Aplicados (qtd)"/>
    <tableColumn id="5" xr3:uid="{5B27545E-95EB-4485-9676-BCC7DC7B0779}" name="Exercícios Realizados (%)"/>
    <tableColumn id="12" xr3:uid="{629038FC-27D9-4561-9D84-42E3935E2A9D}" name="Exercícios Acumulados"/>
    <tableColumn id="6" xr3:uid="{01ABC2B1-9DC1-4336-80CA-1603662EC6C8}" name="Acertos (%)"/>
    <tableColumn id="7" xr3:uid="{C44E87CC-87F9-4910-8B75-754B80B7B496}" name="Resumos realizados "/>
    <tableColumn id="8" xr3:uid="{FE81430B-E6B8-4E39-99E8-B9104A7CA1DE}" name="Trabalho realizado (sim/ não/ não se aplica)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6FC1C3-6018-45E0-81DB-ACC2B45926FF}" name="Table223456" displayName="Table223456" ref="B3:K30" totalsRowShown="0" headerRowDxfId="7">
  <autoFilter ref="B3:K30" xr:uid="{36AEF2CA-07CE-684E-9830-D8EDF94883BF}"/>
  <tableColumns count="10">
    <tableColumn id="1" xr3:uid="{FF8FAC83-9386-4463-9DEB-F333DFE2B8A4}" name="Dia"/>
    <tableColumn id="2" xr3:uid="{59BF9CC5-4614-4C76-A26A-44517F299554}" name="Dia da Semana"/>
    <tableColumn id="3" xr3:uid="{686583BE-A4A8-44D7-8B01-5E772C26DB37}" name="Horas estudadas"/>
    <tableColumn id="11" xr3:uid="{DD4EA235-ACC9-4FAC-9A91-0D7A0996C46A}" name="Horas acumuladas" dataDxfId="6"/>
    <tableColumn id="4" xr3:uid="{1A340CBA-2EE5-45E2-93EB-FB6672B9F00E}" name="Exercícios Aplicados (qtd)"/>
    <tableColumn id="5" xr3:uid="{AABE7FC6-E97A-4246-A102-B818DEF019A6}" name="Exercícios Realizados (%)"/>
    <tableColumn id="12" xr3:uid="{34BB8B2F-0ADB-4E7A-9B1A-B8FC4C1F221D}" name="Exercícios Acumulados"/>
    <tableColumn id="6" xr3:uid="{84C05D5E-2F1F-42E8-91B1-2732EBAD073E}" name="Acertos (%)"/>
    <tableColumn id="7" xr3:uid="{CD480192-7568-4959-B0D1-4CB56DCB5426}" name="Resumos realizados "/>
    <tableColumn id="8" xr3:uid="{4297A446-6549-462C-85AC-0E0D3174EBDC}" name="Trabalho realizado (sim/ não/ não se aplica)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C45F32-CA85-4AB2-8C47-1E3BD229BBAE}" name="Table2234" displayName="Table2234" ref="B3:K30" totalsRowShown="0" headerRowDxfId="5">
  <autoFilter ref="B3:K30" xr:uid="{36AEF2CA-07CE-684E-9830-D8EDF94883BF}"/>
  <tableColumns count="10">
    <tableColumn id="1" xr3:uid="{E23F65CB-098F-4630-A7CC-3AE55E2CDB19}" name="Dia"/>
    <tableColumn id="2" xr3:uid="{FA35FA18-26D7-47F6-9136-14781B770AC5}" name="Dia da Semana"/>
    <tableColumn id="3" xr3:uid="{E7EAD25C-AD76-473B-B3CB-BCACF9C4DA76}" name="Horas estudadas"/>
    <tableColumn id="11" xr3:uid="{668EB675-9956-4E39-9C5F-E8E0D101CB2E}" name="Horas acumuladas" dataDxfId="4"/>
    <tableColumn id="4" xr3:uid="{72F3C2DB-C19F-479C-827C-32477ADCF0F6}" name="Exercícios Aplicados (qtd)"/>
    <tableColumn id="5" xr3:uid="{C3B9E1B3-61EC-417A-85D5-72DA964EE2DC}" name="Exercícios Realizados (%)"/>
    <tableColumn id="12" xr3:uid="{45DED54A-48ED-44CD-B7FD-6A9724A91E9C}" name="Exercícios Acumulados"/>
    <tableColumn id="6" xr3:uid="{A381DAA4-1466-44DE-B398-BF3639D48B38}" name="Acertos (%)"/>
    <tableColumn id="7" xr3:uid="{15C49CE3-DAE6-4288-8818-3388FCF6D2DF}" name="Resumos realizados "/>
    <tableColumn id="8" xr3:uid="{38FE8D56-005B-4F25-8777-8CDF257533C9}" name="Trabalho realizado (sim/ não/ não se aplica)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926FB7-0CF5-49E9-873F-5836E7408CF6}" name="Table22345" displayName="Table22345" ref="B3:K30" totalsRowShown="0" headerRowDxfId="3">
  <autoFilter ref="B3:K30" xr:uid="{36AEF2CA-07CE-684E-9830-D8EDF94883BF}"/>
  <tableColumns count="10">
    <tableColumn id="1" xr3:uid="{4E3E19E2-0240-4BC1-95AF-27B437F1A625}" name="Dia"/>
    <tableColumn id="2" xr3:uid="{8E537786-C9C9-47CE-B430-EF5438D586F6}" name="Dia da Semana"/>
    <tableColumn id="3" xr3:uid="{F2DDFC14-BE23-4BF4-BF05-A13D3E1CA1EC}" name="Horas estudadas"/>
    <tableColumn id="11" xr3:uid="{FD9D270C-EFC9-4EBA-BF78-3BE2627E5DBE}" name="Horas acumuladas" dataDxfId="2"/>
    <tableColumn id="4" xr3:uid="{563E7767-C0BB-4ADF-8BE5-8A67715905B6}" name="Exercícios Aplicados (qtd)"/>
    <tableColumn id="5" xr3:uid="{9AFC1A9F-AC50-4703-BE7F-2BCD632704A7}" name="Exercícios Realizados (%)"/>
    <tableColumn id="12" xr3:uid="{87740C27-9217-4617-A327-211DEC5962EA}" name="Exercícios Acumulados"/>
    <tableColumn id="6" xr3:uid="{7FCA98CD-761C-475D-A199-7A430A8AFB9F}" name="Acertos (%)"/>
    <tableColumn id="7" xr3:uid="{2AE94754-4C65-4187-8DD1-6759975B4680}" name="Resumos realizados "/>
    <tableColumn id="8" xr3:uid="{2493C55E-5150-4F31-9F0A-2F6C7D7F44AB}" name="Trabalho realizado (sim/ não/ não se aplica)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DBDCD30-3335-486D-BE52-1F5169F283EE}" name="Table223458" displayName="Table223458" ref="B3:K30" totalsRowShown="0" headerRowDxfId="1">
  <autoFilter ref="B3:K30" xr:uid="{36AEF2CA-07CE-684E-9830-D8EDF94883BF}"/>
  <tableColumns count="10">
    <tableColumn id="1" xr3:uid="{03421BEE-11BD-45AE-94DE-EE0EA963E388}" name="Dia"/>
    <tableColumn id="2" xr3:uid="{A792860A-DE4E-4A81-9D32-6CEF14DA6FE3}" name="Dia da Semana"/>
    <tableColumn id="3" xr3:uid="{6922B74B-576E-41DA-8250-1D619F0996C7}" name="Horas estudadas"/>
    <tableColumn id="11" xr3:uid="{617C58FC-AC2F-40A6-9AA2-74D0A1408800}" name="Horas acumuladas" dataDxfId="0"/>
    <tableColumn id="4" xr3:uid="{4C1A6942-16B5-461E-8D34-251E93DFCC93}" name="Exercícios Aplicados (qtd)"/>
    <tableColumn id="5" xr3:uid="{5CAFD1A5-4A29-407D-A96A-37EF2CA4B5D8}" name="Exercícios Realizados (%)"/>
    <tableColumn id="12" xr3:uid="{44743540-4AB4-4370-A410-FCF0A7838D81}" name="Exercícios Acumulados"/>
    <tableColumn id="6" xr3:uid="{66A8E319-98E3-4DDD-AB92-72EDFBCF8DD0}" name="Acertos (%)"/>
    <tableColumn id="7" xr3:uid="{37C55848-5E25-4AB2-AE76-D4BF2CFECC06}" name="Resumos realizados "/>
    <tableColumn id="8" xr3:uid="{68A9F090-0340-428E-BBBD-CF55281E1798}" name="Trabalho realizado (sim/ não/ não se aplica)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4-04-18T21:34:25.46" personId="{C02963BB-4F6D-48A8-9307-03E71BBD61A7}" id="{EEFD8818-0F5A-4407-824C-B29686AB3FB1}">
    <text>Inserir aqui apenas os dias de estudo planejados para esta disciplina, conforme o seu roteiro de estudos</text>
  </threadedComment>
  <threadedComment ref="C3" dT="2024-04-18T21:29:50.09" personId="{C02963BB-4F6D-48A8-9307-03E71BBD61A7}" id="{81AEE19A-413B-4CB4-B825-E223FB614F31}">
    <text>ATENÇÃO: Essa coluna possui fórmula, portanto não é necessário mexer.</text>
  </threadedComment>
  <threadedComment ref="D3" dT="2024-04-15T19:24:05.01" personId="{C02963BB-4F6D-48A8-9307-03E71BBD61A7}" id="{4906DA96-B9BB-4D99-ABE1-EFBD54EC9007}">
    <text xml:space="preserve">Aqui você deve colocar, manualmente, a quantidade de horas diárias que você realizou em sua rotina de estudos. </text>
  </threadedComment>
  <threadedComment ref="E3" dT="2024-04-15T20:10:37.79" personId="{C02963BB-4F6D-48A8-9307-03E71BBD61A7}" id="{89E98458-BB0F-4DA1-B00C-06F170158C96}">
    <text>ATENÇÃO: Essa coluna possui fórmula, portanto não é necessário mexer.</text>
  </threadedComment>
  <threadedComment ref="F3" dT="2024-04-15T19:28:47.29" personId="{C02963BB-4F6D-48A8-9307-03E71BBD61A7}" id="{C65C66B4-CF1C-4810-A510-0AC89799145B}">
    <text xml:space="preserve">Aqui você deve incluir, manualmente, a quantidade de exercícios solicitados pelo professor.
</text>
  </threadedComment>
  <threadedComment ref="G3" dT="2024-04-15T19:35:26.12" personId="{C02963BB-4F6D-48A8-9307-03E71BBD61A7}" id="{4CDBD19F-D36C-4131-8B88-E41D34E1602E}">
    <text xml:space="preserve">Essa coluna é destinada para você incluir, manualmente, a porcentagem de exercícios realizados. 
Exemplo: Tinham 10 exercícios e você fez 5, logo você realizou 50% dos exercícios que foram escolhidos para estudos naquele dia. </text>
  </threadedComment>
  <threadedComment ref="H3" dT="2024-04-15T19:36:05.33" personId="{C02963BB-4F6D-48A8-9307-03E71BBD61A7}" id="{8CBAB0CC-2E56-46A1-9634-BD2D52498B61}">
    <text xml:space="preserve">ATENÇÃO: Essa coluna possui fórmula, portanto não é necessário mexer. </text>
  </threadedComment>
  <threadedComment ref="I3" dT="2024-04-15T19:38:10.47" personId="{C02963BB-4F6D-48A8-9307-03E71BBD61A7}" id="{7A7755ED-D1B3-41DB-A147-4355E131B212}">
    <text xml:space="preserve">Aqui você deverá incluir, manualmente, a porcentagem de acertos. 
Exemplo: Você realizou uma listagem de 20 exercícios e acertou 15, logo você terá acertado 75% da listagem de exercícios realizados. 
</text>
  </threadedComment>
  <threadedComment ref="J3" dT="2024-04-15T19:40:51.64" personId="{C02963BB-4F6D-48A8-9307-03E71BBD61A7}" id="{11DE8667-1D7E-4A43-AA88-CBE9FBFC2322}">
    <text xml:space="preserve">Já nessa coluna você deve colocar os resumos feitos. Aqui você pode escolher uma sinalização mais prática por SIM ou NÂO.  </text>
  </threadedComment>
  <threadedComment ref="K3" dT="2024-04-15T19:42:31.51" personId="{C02963BB-4F6D-48A8-9307-03E71BBD61A7}" id="{3CBDEF81-95E0-4303-9046-576CBF8BE2D3}">
    <text xml:space="preserve">Essa coluna você poderá anotar os trabalhos que necessitam de entregas e para isso terá a nomenclatura de SIM., NÃO ou NÃO SE APLICA. Entretanto você também pode sinalizar com numeração. </text>
  </threadedComment>
  <threadedComment ref="N3" dT="2024-04-15T21:53:05.66" personId="{C02963BB-4F6D-48A8-9307-03E71BBD61A7}" id="{AF58733F-26F7-4797-A1D6-5D4FB00D004D}">
    <text xml:space="preserve">ATENÇÃO: Essa coluna possui fórmula, portanto não é necessário mexer. </text>
  </threadedComment>
  <threadedComment ref="O3" dT="2024-04-15T21:52:58.37" personId="{C02963BB-4F6D-48A8-9307-03E71BBD61A7}" id="{6D808167-A205-436A-82ED-8A039147CC53}">
    <text xml:space="preserve">ATENÇÃO: Essa coluna possui fórmula, portanto não é necessário mexer.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3" dT="2024-04-18T21:34:25.46" personId="{C02963BB-4F6D-48A8-9307-03E71BBD61A7}" id="{29CE3B83-745D-4FFC-A417-1858B90870BE}">
    <text>Inserir aqui apenas os dias de estudo planejados para esta disciplina, conforme o seu roteiro de estudos</text>
  </threadedComment>
  <threadedComment ref="C3" dT="2024-04-18T21:29:50.09" personId="{C02963BB-4F6D-48A8-9307-03E71BBD61A7}" id="{A80DC6F5-EF0D-4879-928F-42641F22DC43}">
    <text>ATENÇÃO: Essa coluna possui fórmula, portanto não é necessário mexer.</text>
  </threadedComment>
  <threadedComment ref="D3" dT="2024-04-15T19:24:05.01" personId="{C02963BB-4F6D-48A8-9307-03E71BBD61A7}" id="{5460185C-EF37-4EE4-AB7A-92E4AB8CD42E}">
    <text xml:space="preserve">Aqui você deve colocar, manualmente, a quantidade de horas diárias que você realizou em sua rotina de estudos. </text>
  </threadedComment>
  <threadedComment ref="E3" dT="2024-04-15T20:10:37.79" personId="{C02963BB-4F6D-48A8-9307-03E71BBD61A7}" id="{42D0AA05-483D-47F2-87E2-92E51A5A2CF3}">
    <text>ATENÇÃO: Essa coluna possui fórmula, portanto não é necessário mexer.</text>
  </threadedComment>
  <threadedComment ref="F3" dT="2024-04-15T19:28:47.29" personId="{C02963BB-4F6D-48A8-9307-03E71BBD61A7}" id="{6F52B0F1-5846-4825-AEA6-F524C1CF0409}">
    <text xml:space="preserve">Aqui você deve incluir, manualmente, a quantidade de exercícios solicitados pelo professor.
</text>
  </threadedComment>
  <threadedComment ref="G3" dT="2024-04-15T19:35:26.12" personId="{C02963BB-4F6D-48A8-9307-03E71BBD61A7}" id="{89497E34-8757-4891-895A-012735BAFA13}">
    <text xml:space="preserve">Essa coluna é destinada para você incluir, manualmente, a porcentagem de exercícios realizados. 
Exemplo: Tinham 10 exercícios e você fez 5, logo você realizou 50% dos exercícios que foram escolhidos para estudos naquele dia. </text>
  </threadedComment>
  <threadedComment ref="H3" dT="2024-04-15T19:36:05.33" personId="{C02963BB-4F6D-48A8-9307-03E71BBD61A7}" id="{39DD24A4-E158-4EC7-AFCB-BAAE6B30F4B7}">
    <text xml:space="preserve">ATENÇÃO: Essa coluna possui fórmula, portanto não é necessário mexer. </text>
  </threadedComment>
  <threadedComment ref="I3" dT="2024-04-15T19:38:10.47" personId="{C02963BB-4F6D-48A8-9307-03E71BBD61A7}" id="{D0A0FFFE-8D6E-4C61-82C9-A6E5CA60A4CB}">
    <text xml:space="preserve">Aqui você deverá incluir, manualmente, a porcentagem de acertos. 
Exemplo: Você realizou uma listagem de 20 exercícios e acertou 15, logo você terá acertado 75% da listagem de exercícios realizados. 
</text>
  </threadedComment>
  <threadedComment ref="J3" dT="2024-04-15T19:40:51.64" personId="{C02963BB-4F6D-48A8-9307-03E71BBD61A7}" id="{3BD161DD-4186-4396-B479-EB2F8B1FB334}">
    <text xml:space="preserve">Já nessa coluna você deve colocar os resumos feitos. Aqui você pode escolher uma sinalização mais prática por SIM ou NÂO.  </text>
  </threadedComment>
  <threadedComment ref="K3" dT="2024-04-15T19:42:31.51" personId="{C02963BB-4F6D-48A8-9307-03E71BBD61A7}" id="{32AC4AB1-BBE9-4D0B-A015-FEFAB60F141C}">
    <text xml:space="preserve">Essa coluna você poderá anotar os trabalhos que necessitam de entregas e para isso terá a nomenclatura de SIM., NÃO ou NÃO SE APLICA. Entretanto você também pode sinalizar com numeração. </text>
  </threadedComment>
  <threadedComment ref="N3" dT="2024-04-15T21:53:05.66" personId="{C02963BB-4F6D-48A8-9307-03E71BBD61A7}" id="{F4A09A00-4014-4B27-83B1-1A0E84F9E48C}">
    <text xml:space="preserve">ATENÇÃO: Essa coluna possui fórmula, portanto não é necessário mexer. </text>
  </threadedComment>
  <threadedComment ref="O3" dT="2024-04-15T21:52:58.37" personId="{C02963BB-4F6D-48A8-9307-03E71BBD61A7}" id="{C5BB79A7-2CD2-435E-AA8C-9795A65DAC4D}">
    <text xml:space="preserve">ATENÇÃO: Essa coluna possui fórmula, portanto não é necessário mexer.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3" dT="2024-04-18T21:34:25.46" personId="{C02963BB-4F6D-48A8-9307-03E71BBD61A7}" id="{84980C37-9AAD-4293-A861-C8445076F98B}">
    <text>Inserir aqui apenas os dias de estudo planejados para esta disciplina, conforme o seu roteiro de estudos</text>
  </threadedComment>
  <threadedComment ref="C3" dT="2024-04-18T21:29:50.09" personId="{C02963BB-4F6D-48A8-9307-03E71BBD61A7}" id="{F8F5E13C-2283-498B-BE04-1502F0E5DBCE}">
    <text>ATENÇÃO: Essa coluna possui fórmula, portanto não é necessário mexer.</text>
  </threadedComment>
  <threadedComment ref="D3" dT="2024-04-15T19:24:05.01" personId="{C02963BB-4F6D-48A8-9307-03E71BBD61A7}" id="{DF4B0BB1-6421-4CDC-AF8F-E4AA785811CB}">
    <text xml:space="preserve">Aqui você deve colocar, manualmente, a quantidade de horas diárias que você realizou em sua rotina de estudos. </text>
  </threadedComment>
  <threadedComment ref="E3" dT="2024-04-15T20:10:37.79" personId="{C02963BB-4F6D-48A8-9307-03E71BBD61A7}" id="{32237544-FE46-4C2A-A29A-8D990760F741}">
    <text>ATENÇÃO: Essa coluna possui fórmula, portanto não é necessário mexer.</text>
  </threadedComment>
  <threadedComment ref="F3" dT="2024-04-15T19:28:47.29" personId="{C02963BB-4F6D-48A8-9307-03E71BBD61A7}" id="{2FFB0CA4-5E29-4158-AE3B-2D3AAFF9EBC1}">
    <text xml:space="preserve">Aqui você deve incluir, manualmente, a quantidade de exercícios solicitados pelo professor.
</text>
  </threadedComment>
  <threadedComment ref="G3" dT="2024-04-15T19:35:26.12" personId="{C02963BB-4F6D-48A8-9307-03E71BBD61A7}" id="{F3FA552F-36FB-44D0-943A-1B8A002888DF}">
    <text xml:space="preserve">Essa coluna é destinada para você incluir, manualmente, a porcentagem de exercícios realizados. 
Exemplo: Tinham 10 exercícios e você fez 5, logo você realizou 50% dos exercícios que foram escolhidos para estudos naquele dia. </text>
  </threadedComment>
  <threadedComment ref="H3" dT="2024-04-15T19:36:05.33" personId="{C02963BB-4F6D-48A8-9307-03E71BBD61A7}" id="{BC4CA18A-D5ED-4AA6-84A8-9FAA42AFBAED}">
    <text xml:space="preserve">ATENÇÃO: Essa coluna possui fórmula, portanto não é necessário mexer. </text>
  </threadedComment>
  <threadedComment ref="I3" dT="2024-04-15T19:38:10.47" personId="{C02963BB-4F6D-48A8-9307-03E71BBD61A7}" id="{BB1A2693-A810-40C6-9436-24D3E0774AEB}">
    <text xml:space="preserve">Aqui você deverá incluir, manualmente, a porcentagem de acertos. 
Exemplo: Você realizou uma listagem de 20 exercícios e acertou 15, logo você terá acertado 75% da listagem de exercícios realizados. 
</text>
  </threadedComment>
  <threadedComment ref="J3" dT="2024-04-15T19:40:51.64" personId="{C02963BB-4F6D-48A8-9307-03E71BBD61A7}" id="{20BEE38D-C924-435A-80C5-290EFC763574}">
    <text xml:space="preserve">Já nessa coluna você deve colocar os resumos feitos. Aqui você pode escolher uma sinalização mais prática por SIM ou NÂO.  </text>
  </threadedComment>
  <threadedComment ref="K3" dT="2024-04-15T19:42:31.51" personId="{C02963BB-4F6D-48A8-9307-03E71BBD61A7}" id="{75832E37-B04F-4E9C-8748-251A190C5562}">
    <text xml:space="preserve">Essa coluna você poderá anotar os trabalhos que necessitam de entregas e para isso terá a nomenclatura de SIM., NÃO ou NÃO SE APLICA. Entretanto você também pode sinalizar com numeração. </text>
  </threadedComment>
  <threadedComment ref="N3" dT="2024-04-15T21:53:05.66" personId="{C02963BB-4F6D-48A8-9307-03E71BBD61A7}" id="{36F135FC-915F-4AB7-AC4A-55EC6245BE23}">
    <text xml:space="preserve">ATENÇÃO: Essa coluna possui fórmula, portanto não é necessário mexer. </text>
  </threadedComment>
  <threadedComment ref="O3" dT="2024-04-15T21:52:58.37" personId="{C02963BB-4F6D-48A8-9307-03E71BBD61A7}" id="{72B285AE-0E64-49F6-977E-EF1F267FA22A}">
    <text xml:space="preserve">ATENÇÃO: Essa coluna possui fórmula, portanto não é necessário mexer.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3" dT="2024-04-18T21:34:25.46" personId="{C02963BB-4F6D-48A8-9307-03E71BBD61A7}" id="{C541979D-A9B6-4E08-88AE-2AAEBE0A35FB}">
    <text>Inserir aqui apenas os dias de estudo planejados para esta disciplina, conforme o seu roteiro de estudos</text>
  </threadedComment>
  <threadedComment ref="C3" dT="2024-04-18T21:29:50.09" personId="{C02963BB-4F6D-48A8-9307-03E71BBD61A7}" id="{CA46DB33-4B36-43C1-BD43-35A701A1FAE1}">
    <text>ATENÇÃO: Essa coluna possui fórmula, portanto não é necessário mexer.</text>
  </threadedComment>
  <threadedComment ref="D3" dT="2024-04-15T19:24:05.01" personId="{C02963BB-4F6D-48A8-9307-03E71BBD61A7}" id="{9146B189-9DD4-4ABB-88BC-75B1DB5DA8CA}">
    <text xml:space="preserve">Aqui você deve colocar, manualmente, a quantidade de horas diárias que você realizou em sua rotina de estudos. </text>
  </threadedComment>
  <threadedComment ref="E3" dT="2024-04-15T20:10:37.79" personId="{C02963BB-4F6D-48A8-9307-03E71BBD61A7}" id="{2E91B757-D743-465B-A1D9-9C4E257E92E9}">
    <text>ATENÇÃO: Essa coluna possui fórmula, portanto não é necessário mexer.</text>
  </threadedComment>
  <threadedComment ref="F3" dT="2024-04-15T19:28:47.29" personId="{C02963BB-4F6D-48A8-9307-03E71BBD61A7}" id="{29B133BD-34B0-4956-95DA-A7CA56007828}">
    <text xml:space="preserve">Aqui você deve incluir, manualmente, a quantidade de exercícios solicitados pelo professor.
</text>
  </threadedComment>
  <threadedComment ref="G3" dT="2024-04-15T19:35:26.12" personId="{C02963BB-4F6D-48A8-9307-03E71BBD61A7}" id="{D26F5E18-2FF4-4546-8C6E-54C17C94135C}">
    <text xml:space="preserve">Essa coluna é destinada para você incluir, manualmente, a porcentagem de exercícios realizados. 
Exemplo: Tinham 10 exercícios e você fez 5, logo você realizou 50% dos exercícios que foram escolhidos para estudos naquele dia. </text>
  </threadedComment>
  <threadedComment ref="H3" dT="2024-04-15T19:36:05.33" personId="{C02963BB-4F6D-48A8-9307-03E71BBD61A7}" id="{D492F59D-BD2A-4CB5-99E7-0684B91DB896}">
    <text xml:space="preserve">ATENÇÃO: Essa coluna possui fórmula, portanto não é necessário mexer. </text>
  </threadedComment>
  <threadedComment ref="I3" dT="2024-04-15T19:38:10.47" personId="{C02963BB-4F6D-48A8-9307-03E71BBD61A7}" id="{FB858F4E-4FB6-4AEB-A10E-2795979C370B}">
    <text xml:space="preserve">Aqui você deverá incluir, manualmente, a porcentagem de acertos. 
Exemplo: Você realizou uma listagem de 20 exercícios e acertou 15, logo você terá acertado 75% da listagem de exercícios realizados. 
</text>
  </threadedComment>
  <threadedComment ref="J3" dT="2024-04-15T19:40:51.64" personId="{C02963BB-4F6D-48A8-9307-03E71BBD61A7}" id="{6365A29A-C03B-4C9C-A596-12D1FD4EC0B5}">
    <text xml:space="preserve">Já nessa coluna você deve colocar os resumos feitos. Aqui você pode escolher uma sinalização mais prática por SIM ou NÂO.  </text>
  </threadedComment>
  <threadedComment ref="K3" dT="2024-04-15T19:42:31.51" personId="{C02963BB-4F6D-48A8-9307-03E71BBD61A7}" id="{1E2BB48A-920D-453E-9E1E-498DB5339478}">
    <text xml:space="preserve">Essa coluna você poderá anotar os trabalhos que necessitam de entregas e para isso terá a nomenclatura de SIM., NÃO ou NÃO SE APLICA. Entretanto você também pode sinalizar com numeração. </text>
  </threadedComment>
  <threadedComment ref="N3" dT="2024-04-15T21:53:05.66" personId="{C02963BB-4F6D-48A8-9307-03E71BBD61A7}" id="{C2EF39E7-1C90-4263-91B3-08926816DC46}">
    <text xml:space="preserve">ATENÇÃO: Essa coluna possui fórmula, portanto não é necessário mexer. </text>
  </threadedComment>
  <threadedComment ref="O3" dT="2024-04-15T21:52:58.37" personId="{C02963BB-4F6D-48A8-9307-03E71BBD61A7}" id="{77C96145-BAD2-4E92-A0B1-783E23C21E33}">
    <text xml:space="preserve">ATENÇÃO: Essa coluna possui fórmula, portanto não é necessário mexer.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3" dT="2024-04-18T21:34:25.46" personId="{C02963BB-4F6D-48A8-9307-03E71BBD61A7}" id="{B495A53C-CEEC-4146-8F74-6DEB6247CE2F}">
    <text>Inserir aqui apenas os dias de estudo planejados para esta disciplina, conforme o seu roteiro de estudos</text>
  </threadedComment>
  <threadedComment ref="C3" dT="2024-04-18T21:29:50.09" personId="{C02963BB-4F6D-48A8-9307-03E71BBD61A7}" id="{EDD9AB94-1BB4-4557-8794-E879A3D1C39F}">
    <text>ATENÇÃO: Essa coluna possui fórmula, portanto não é necessário mexer.</text>
  </threadedComment>
  <threadedComment ref="D3" dT="2024-04-15T19:24:05.01" personId="{C02963BB-4F6D-48A8-9307-03E71BBD61A7}" id="{B7C70BF6-1299-4C7C-B4A6-EF0455CFF629}">
    <text xml:space="preserve">Aqui você deve colocar, manualmente, a quantidade de horas diárias que você realizou em sua rotina de estudos. </text>
  </threadedComment>
  <threadedComment ref="E3" dT="2024-04-15T20:10:37.79" personId="{C02963BB-4F6D-48A8-9307-03E71BBD61A7}" id="{24098FE7-A8FE-475D-B219-7AB4F5936072}">
    <text>ATENÇÃO: Essa coluna possui fórmula, portanto não é necessário mexer.</text>
  </threadedComment>
  <threadedComment ref="F3" dT="2024-04-15T19:28:47.29" personId="{C02963BB-4F6D-48A8-9307-03E71BBD61A7}" id="{DB24FF4B-1F9C-4563-952E-D3E8AAF82B75}">
    <text xml:space="preserve">Aqui você deve incluir, manualmente, a quantidade de exercícios solicitados pelo professor.
</text>
  </threadedComment>
  <threadedComment ref="G3" dT="2024-04-15T19:35:26.12" personId="{C02963BB-4F6D-48A8-9307-03E71BBD61A7}" id="{8EF907AF-C18B-4215-A394-C488B08F7CA0}">
    <text xml:space="preserve">Essa coluna é destinada para você incluir, manualmente, a porcentagem de exercícios realizados. 
Exemplo: Tinham 10 exercícios e você fez 5, logo você realizou 50% dos exercícios que foram escolhidos para estudos naquele dia. </text>
  </threadedComment>
  <threadedComment ref="H3" dT="2024-04-15T19:36:05.33" personId="{C02963BB-4F6D-48A8-9307-03E71BBD61A7}" id="{D101815F-C8DF-4380-A59E-25106DC1702E}">
    <text xml:space="preserve">ATENÇÃO: Essa coluna possui fórmula, portanto não é necessário mexer. </text>
  </threadedComment>
  <threadedComment ref="I3" dT="2024-04-15T19:38:10.47" personId="{C02963BB-4F6D-48A8-9307-03E71BBD61A7}" id="{E5BB9246-4404-4086-AD10-D9D0DE93E9AE}">
    <text xml:space="preserve">Aqui você deverá incluir, manualmente, a porcentagem de acertos. 
Exemplo: Você realizou uma listagem de 20 exercícios e acertou 15, logo você terá acertado 75% da listagem de exercícios realizados. 
</text>
  </threadedComment>
  <threadedComment ref="J3" dT="2024-04-15T19:40:51.64" personId="{C02963BB-4F6D-48A8-9307-03E71BBD61A7}" id="{24AB79A2-831D-4EFC-AA82-3E952B786883}">
    <text xml:space="preserve">Já nessa coluna você deve colocar os resumos feitos. Aqui você pode escolher uma sinalização mais prática por SIM ou NÂO.  </text>
  </threadedComment>
  <threadedComment ref="K3" dT="2024-04-15T19:42:31.51" personId="{C02963BB-4F6D-48A8-9307-03E71BBD61A7}" id="{5335DED2-1129-47B0-8703-3B56D82CCFE9}">
    <text xml:space="preserve">Essa coluna você poderá anotar os trabalhos que necessitam de entregas e para isso terá a nomenclatura de SIM., NÃO ou NÃO SE APLICA. Entretanto você também pode sinalizar com numeração. </text>
  </threadedComment>
  <threadedComment ref="N3" dT="2024-04-15T21:53:05.66" personId="{C02963BB-4F6D-48A8-9307-03E71BBD61A7}" id="{4148875D-1EF0-4E4C-A0EE-0E12BCE6BC49}">
    <text xml:space="preserve">ATENÇÃO: Essa coluna possui fórmula, portanto não é necessário mexer. </text>
  </threadedComment>
  <threadedComment ref="O3" dT="2024-04-15T21:52:58.37" personId="{C02963BB-4F6D-48A8-9307-03E71BBD61A7}" id="{A0956A0E-8BDA-42EB-B5EF-164C981798EB}">
    <text xml:space="preserve">ATENÇÃO: Essa coluna possui fórmula, portanto não é necessário mexer. 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3" dT="2024-04-18T21:34:25.46" personId="{C02963BB-4F6D-48A8-9307-03E71BBD61A7}" id="{8DE10304-F744-44E8-8B01-B27F52966004}">
    <text>Inserir aqui apenas os dias de estudo planejados para esta disciplina, conforme o seu roteiro de estudos</text>
  </threadedComment>
  <threadedComment ref="C3" dT="2024-04-18T21:29:50.09" personId="{C02963BB-4F6D-48A8-9307-03E71BBD61A7}" id="{FDD1A17D-3B38-46B9-AA47-CDBCEDFD837A}">
    <text>ATENÇÃO: Essa coluna possui fórmula, portanto não é necessário mexer.</text>
  </threadedComment>
  <threadedComment ref="D3" dT="2024-04-15T19:24:05.01" personId="{C02963BB-4F6D-48A8-9307-03E71BBD61A7}" id="{6CE03723-0768-49AF-BBFE-A09420F31416}">
    <text xml:space="preserve">Aqui você deve colocar, manualmente, a quantidade de horas diárias que você realizou em sua rotina de estudos. </text>
  </threadedComment>
  <threadedComment ref="E3" dT="2024-04-15T20:10:37.79" personId="{C02963BB-4F6D-48A8-9307-03E71BBD61A7}" id="{A36163FB-D7E0-4029-96F2-89FA98CCB5B1}">
    <text>ATENÇÃO: Essa coluna possui fórmula, portanto não é necessário mexer.</text>
  </threadedComment>
  <threadedComment ref="F3" dT="2024-04-15T19:28:47.29" personId="{C02963BB-4F6D-48A8-9307-03E71BBD61A7}" id="{2CE603E4-B346-4961-96B0-2CFEE0915BC1}">
    <text xml:space="preserve">Aqui você deve incluir, manualmente, a quantidade de exercícios solicitados pelo professor.
</text>
  </threadedComment>
  <threadedComment ref="G3" dT="2024-04-15T19:35:26.12" personId="{C02963BB-4F6D-48A8-9307-03E71BBD61A7}" id="{47406E35-7841-46FB-8ECA-445E354853D1}">
    <text xml:space="preserve">Essa coluna é destinada para você incluir, manualmente, a porcentagem de exercícios realizados. 
Exemplo: Tinham 10 exercícios e você fez 5, logo você realizou 50% dos exercícios que foram escolhidos para estudos naquele dia. </text>
  </threadedComment>
  <threadedComment ref="H3" dT="2024-04-15T19:36:05.33" personId="{C02963BB-4F6D-48A8-9307-03E71BBD61A7}" id="{464CEE84-F7FE-49EB-8D30-81830379F489}">
    <text xml:space="preserve">ATENÇÃO: Essa coluna possui fórmula, portanto não é necessário mexer. </text>
  </threadedComment>
  <threadedComment ref="I3" dT="2024-04-15T19:38:10.47" personId="{C02963BB-4F6D-48A8-9307-03E71BBD61A7}" id="{762AF22F-5892-4DC6-B5A1-85224ECB989B}">
    <text xml:space="preserve">Aqui você deverá incluir, manualmente, a porcentagem de acertos. 
Exemplo: Você realizou uma listagem de 20 exercícios e acertou 15, logo você terá acertado 75% da listagem de exercícios realizados. 
</text>
  </threadedComment>
  <threadedComment ref="J3" dT="2024-04-15T19:40:51.64" personId="{C02963BB-4F6D-48A8-9307-03E71BBD61A7}" id="{8F284479-7D73-4B72-A332-260515CF7501}">
    <text xml:space="preserve">Já nessa coluna você deve colocar os resumos feitos. Aqui você pode escolher uma sinalização mais prática por SIM ou NÂO.  </text>
  </threadedComment>
  <threadedComment ref="K3" dT="2024-04-15T19:42:31.51" personId="{C02963BB-4F6D-48A8-9307-03E71BBD61A7}" id="{60536575-3B96-4637-8F81-AA2FF6D79C21}">
    <text xml:space="preserve">Essa coluna você poderá anotar os trabalhos que necessitam de entregas e para isso terá a nomenclatura de SIM., NÃO ou NÃO SE APLICA. Entretanto você também pode sinalizar com numeração. </text>
  </threadedComment>
  <threadedComment ref="N3" dT="2024-04-15T21:53:05.66" personId="{C02963BB-4F6D-48A8-9307-03E71BBD61A7}" id="{5D65A6CE-72D2-4C9E-BA0C-B20836EC4402}">
    <text xml:space="preserve">ATENÇÃO: Essa coluna possui fórmula, portanto não é necessário mexer. </text>
  </threadedComment>
  <threadedComment ref="O3" dT="2024-04-15T21:52:58.37" personId="{C02963BB-4F6D-48A8-9307-03E71BBD61A7}" id="{54616F13-1A8C-4EBB-AB14-0D1B0EE8016A}">
    <text xml:space="preserve">ATENÇÃO: Essa coluna possui fórmula, portanto não é necessário mexer. 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3" dT="2024-04-18T21:34:25.46" personId="{C02963BB-4F6D-48A8-9307-03E71BBD61A7}" id="{DEBC1B11-7330-4837-9837-C4CE44D711B8}">
    <text>Inserir aqui apenas os dias de estudo planejados para esta disciplina, conforme o seu roteiro de estudos</text>
  </threadedComment>
  <threadedComment ref="C3" dT="2024-04-18T21:29:50.09" personId="{C02963BB-4F6D-48A8-9307-03E71BBD61A7}" id="{38E40739-F63F-4492-893D-E8325C855CAA}">
    <text>ATENÇÃO: Essa coluna possui fórmula, portanto não é necessário mexer.</text>
  </threadedComment>
  <threadedComment ref="D3" dT="2024-04-15T19:24:05.01" personId="{C02963BB-4F6D-48A8-9307-03E71BBD61A7}" id="{81E54894-07FA-4157-8EC8-6FF7D427036F}">
    <text xml:space="preserve">Aqui você deve colocar, manualmente, a quantidade de horas diárias que você realizou em sua rotina de estudos. </text>
  </threadedComment>
  <threadedComment ref="E3" dT="2024-04-15T20:10:37.79" personId="{C02963BB-4F6D-48A8-9307-03E71BBD61A7}" id="{E574B2EC-C209-4627-904D-8C02A18B28A2}">
    <text>ATENÇÃO: Essa coluna possui fórmula, portanto não é necessário mexer.</text>
  </threadedComment>
  <threadedComment ref="F3" dT="2024-04-15T19:28:47.29" personId="{C02963BB-4F6D-48A8-9307-03E71BBD61A7}" id="{252486F1-487A-4D8A-8392-6533799A41AC}">
    <text xml:space="preserve">Aqui você deve incluir, manualmente, a quantidade de exercícios solicitados pelo professor.
</text>
  </threadedComment>
  <threadedComment ref="G3" dT="2024-04-15T19:35:26.12" personId="{C02963BB-4F6D-48A8-9307-03E71BBD61A7}" id="{EE368FFC-150E-4456-9066-2757B1CE7FE4}">
    <text xml:space="preserve">Essa coluna é destinada para você incluir, manualmente, a porcentagem de exercícios realizados. 
Exemplo: Tinham 10 exercícios e você fez 5, logo você realizou 50% dos exercícios que foram escolhidos para estudos naquele dia. </text>
  </threadedComment>
  <threadedComment ref="H3" dT="2024-04-15T19:36:05.33" personId="{C02963BB-4F6D-48A8-9307-03E71BBD61A7}" id="{3901BBA2-C98B-434A-A0FA-DE5F754B81FF}">
    <text xml:space="preserve">ATENÇÃO: Essa coluna possui fórmula, portanto não é necessário mexer. </text>
  </threadedComment>
  <threadedComment ref="I3" dT="2024-04-15T19:38:10.47" personId="{C02963BB-4F6D-48A8-9307-03E71BBD61A7}" id="{6975C424-0C8B-4ECE-87AB-84ECE2A361E1}">
    <text xml:space="preserve">Aqui você deverá incluir, manualmente, a porcentagem de acertos. 
Exemplo: Você realizou uma listagem de 20 exercícios e acertou 15, logo você terá acertado 75% da listagem de exercícios realizados. 
</text>
  </threadedComment>
  <threadedComment ref="J3" dT="2024-04-15T19:40:51.64" personId="{C02963BB-4F6D-48A8-9307-03E71BBD61A7}" id="{4B7D7BD7-C307-4A24-8DFD-E560365DED0F}">
    <text xml:space="preserve">Já nessa coluna você deve colocar os resumos feitos. Aqui você pode escolher uma sinalização mais prática por SIM ou NÂO.  </text>
  </threadedComment>
  <threadedComment ref="K3" dT="2024-04-15T19:42:31.51" personId="{C02963BB-4F6D-48A8-9307-03E71BBD61A7}" id="{6180D833-1A1D-4074-9210-DB1B2D15E148}">
    <text xml:space="preserve">Essa coluna você poderá anotar os trabalhos que necessitam de entregas e para isso terá a nomenclatura de SIM., NÃO ou NÃO SE APLICA. Entretanto você também pode sinalizar com numeração. </text>
  </threadedComment>
  <threadedComment ref="N3" dT="2024-04-15T21:53:05.66" personId="{C02963BB-4F6D-48A8-9307-03E71BBD61A7}" id="{F0807127-CDCD-4DC2-962C-DDA05DD37E23}">
    <text xml:space="preserve">ATENÇÃO: Essa coluna possui fórmula, portanto não é necessário mexer. </text>
  </threadedComment>
  <threadedComment ref="O3" dT="2024-04-15T21:52:58.37" personId="{C02963BB-4F6D-48A8-9307-03E71BBD61A7}" id="{9F1DB173-50C7-40A7-A045-D31D096BFDE5}">
    <text xml:space="preserve">ATENÇÃO: Essa coluna possui fórmula, portanto não é necessário mexer.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5" Type="http://schemas.microsoft.com/office/2017/10/relationships/threadedComment" Target="../threadedComments/threadedComment6.xml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80C0F-0021-4447-9A87-7B2A80F42163}">
  <sheetPr>
    <tabColor rgb="FFFF0000"/>
  </sheetPr>
  <dimension ref="B1:O30"/>
  <sheetViews>
    <sheetView showGridLines="0" topLeftCell="A3" workbookViewId="0">
      <selection activeCell="D13" sqref="D13"/>
    </sheetView>
  </sheetViews>
  <sheetFormatPr defaultColWidth="11" defaultRowHeight="15.75"/>
  <cols>
    <col min="3" max="3" width="15.5" customWidth="1"/>
    <col min="4" max="5" width="17" customWidth="1"/>
    <col min="6" max="6" width="25.375" customWidth="1"/>
    <col min="7" max="8" width="24.125" customWidth="1"/>
    <col min="9" max="9" width="12.875" style="2" customWidth="1"/>
    <col min="10" max="10" width="19.5" customWidth="1"/>
    <col min="11" max="11" width="22" customWidth="1"/>
    <col min="12" max="13" width="9"/>
    <col min="14" max="14" width="15.25" customWidth="1"/>
    <col min="15" max="15" width="16.375" customWidth="1"/>
  </cols>
  <sheetData>
    <row r="1" spans="2:15" ht="26.25"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6"/>
    </row>
    <row r="2" spans="2:15" ht="30" customHeight="1">
      <c r="B2" s="17" t="s">
        <v>1</v>
      </c>
      <c r="C2" s="17"/>
      <c r="D2" s="17"/>
      <c r="E2" s="17"/>
      <c r="F2" s="17"/>
      <c r="G2" s="17"/>
      <c r="H2" s="17"/>
      <c r="I2" s="17"/>
      <c r="J2" s="17"/>
      <c r="K2" s="17"/>
    </row>
    <row r="3" spans="2:15" s="3" customFormat="1" ht="30.75">
      <c r="B3" s="3" t="s">
        <v>2</v>
      </c>
      <c r="C3" s="5" t="s">
        <v>3</v>
      </c>
      <c r="D3" s="3" t="s">
        <v>4</v>
      </c>
      <c r="E3" s="6" t="s">
        <v>5</v>
      </c>
      <c r="F3" s="3" t="s">
        <v>6</v>
      </c>
      <c r="G3" s="3" t="s">
        <v>7</v>
      </c>
      <c r="H3" s="5" t="s">
        <v>8</v>
      </c>
      <c r="I3" s="4" t="s">
        <v>9</v>
      </c>
      <c r="J3" s="3" t="s">
        <v>10</v>
      </c>
      <c r="K3" s="3" t="s">
        <v>11</v>
      </c>
      <c r="N3" s="12" t="s">
        <v>3</v>
      </c>
      <c r="O3" s="13" t="s">
        <v>12</v>
      </c>
    </row>
    <row r="4" spans="2:15">
      <c r="B4" s="1">
        <v>45382</v>
      </c>
      <c r="C4" s="1" t="str">
        <f>TEXT(B4, "dddd")</f>
        <v>Sunday</v>
      </c>
      <c r="D4">
        <v>3</v>
      </c>
      <c r="E4" s="11">
        <f>SUM(Table223[[#This Row],[Horas estudadas]])</f>
        <v>3</v>
      </c>
      <c r="F4">
        <v>2</v>
      </c>
      <c r="G4" s="2">
        <v>1</v>
      </c>
      <c r="H4" s="11">
        <f>SUM(Table223[[#This Row],[Exercícios Aplicados (qtd)]])</f>
        <v>2</v>
      </c>
      <c r="I4" s="2">
        <v>1</v>
      </c>
      <c r="K4">
        <v>0</v>
      </c>
      <c r="N4" s="7" t="s">
        <v>13</v>
      </c>
      <c r="O4" s="9">
        <f>SUMIF(Table223[Dia da Semana],N4,Table223[Exercícios Aplicados (qtd)])</f>
        <v>0</v>
      </c>
    </row>
    <row r="5" spans="2:15">
      <c r="B5" s="1">
        <v>45389</v>
      </c>
      <c r="C5" s="1" t="str">
        <f t="shared" ref="C5:C28" si="0">TEXT(B5, "dddd")</f>
        <v>Sunday</v>
      </c>
      <c r="D5">
        <v>3</v>
      </c>
      <c r="E5" s="11">
        <f>SUM(D4:D5)</f>
        <v>6</v>
      </c>
      <c r="F5">
        <v>3</v>
      </c>
      <c r="G5" s="2">
        <v>1</v>
      </c>
      <c r="H5" s="11">
        <f>SUM(F4:F5)</f>
        <v>5</v>
      </c>
      <c r="I5" s="2">
        <v>1</v>
      </c>
      <c r="K5">
        <v>0</v>
      </c>
      <c r="N5" s="8" t="s">
        <v>14</v>
      </c>
      <c r="O5" s="10">
        <f>SUMIF(Table223[Dia da Semana],N5,Table223[Exercícios Aplicados (qtd)])</f>
        <v>0</v>
      </c>
    </row>
    <row r="6" spans="2:15">
      <c r="B6" s="1">
        <v>45396</v>
      </c>
      <c r="C6" s="1" t="str">
        <f t="shared" si="0"/>
        <v>Sunday</v>
      </c>
      <c r="D6">
        <v>2</v>
      </c>
      <c r="E6" s="11">
        <f>SUM(D4:D6)</f>
        <v>8</v>
      </c>
      <c r="F6">
        <v>2</v>
      </c>
      <c r="G6" s="2">
        <v>1</v>
      </c>
      <c r="H6" s="11">
        <f>SUM(F4:F6)</f>
        <v>7</v>
      </c>
      <c r="I6" s="2">
        <v>1</v>
      </c>
      <c r="K6">
        <v>0</v>
      </c>
      <c r="N6" s="7" t="s">
        <v>15</v>
      </c>
      <c r="O6" s="9">
        <f>SUMIF(Table223[Dia da Semana],N6,Table223[Exercícios Aplicados (qtd)])</f>
        <v>0</v>
      </c>
    </row>
    <row r="7" spans="2:15">
      <c r="B7" s="1">
        <v>45403</v>
      </c>
      <c r="C7" s="1" t="str">
        <f t="shared" si="0"/>
        <v>Sunday</v>
      </c>
      <c r="D7">
        <v>0</v>
      </c>
      <c r="E7" s="11">
        <f>SUM(D4:D7)</f>
        <v>8</v>
      </c>
      <c r="F7">
        <v>0</v>
      </c>
      <c r="G7" s="2">
        <v>1</v>
      </c>
      <c r="H7" s="11">
        <f>SUM(F4:F7)</f>
        <v>7</v>
      </c>
      <c r="I7" s="2">
        <v>1</v>
      </c>
      <c r="K7">
        <v>0</v>
      </c>
      <c r="N7" s="8" t="s">
        <v>16</v>
      </c>
      <c r="O7" s="10">
        <f>SUMIF(Table223[Dia da Semana],N7,Table223[Exercícios Aplicados (qtd)])</f>
        <v>0</v>
      </c>
    </row>
    <row r="8" spans="2:15">
      <c r="B8" s="1">
        <v>45410</v>
      </c>
      <c r="C8" s="1" t="str">
        <f t="shared" si="0"/>
        <v>Sunday</v>
      </c>
      <c r="D8">
        <v>2</v>
      </c>
      <c r="E8" s="11">
        <f>SUM(D4:D8)</f>
        <v>10</v>
      </c>
      <c r="F8">
        <v>0</v>
      </c>
      <c r="G8" s="2">
        <v>1</v>
      </c>
      <c r="H8" s="11">
        <f>SUM(F4:F8)</f>
        <v>7</v>
      </c>
      <c r="I8" s="2">
        <v>1</v>
      </c>
      <c r="K8">
        <v>1</v>
      </c>
    </row>
    <row r="9" spans="2:15">
      <c r="B9" s="1">
        <v>45417</v>
      </c>
      <c r="C9" s="1" t="str">
        <f t="shared" si="0"/>
        <v>Sunday</v>
      </c>
      <c r="D9">
        <v>2</v>
      </c>
      <c r="E9" s="11">
        <f>SUM(D4:D9)</f>
        <v>12</v>
      </c>
      <c r="F9">
        <v>0</v>
      </c>
      <c r="G9" s="2">
        <v>1</v>
      </c>
      <c r="H9" s="11">
        <f>SUM(F4:F9)</f>
        <v>7</v>
      </c>
      <c r="I9" s="2">
        <v>1</v>
      </c>
      <c r="K9">
        <v>0</v>
      </c>
    </row>
    <row r="10" spans="2:15">
      <c r="B10" s="1">
        <v>45424</v>
      </c>
      <c r="C10" s="1" t="str">
        <f t="shared" si="0"/>
        <v>Sunday</v>
      </c>
      <c r="D10">
        <v>3</v>
      </c>
      <c r="E10" s="11">
        <f>SUM(D4:D10)</f>
        <v>15</v>
      </c>
      <c r="F10">
        <v>0</v>
      </c>
      <c r="G10" s="2">
        <v>1</v>
      </c>
      <c r="H10" s="11">
        <f>SUM(F4:F10)</f>
        <v>7</v>
      </c>
      <c r="I10" s="2">
        <v>1</v>
      </c>
      <c r="K10">
        <v>0</v>
      </c>
    </row>
    <row r="11" spans="2:15">
      <c r="B11" s="1">
        <v>45431</v>
      </c>
      <c r="C11" s="1" t="str">
        <f t="shared" si="0"/>
        <v>Sunday</v>
      </c>
      <c r="D11">
        <v>2</v>
      </c>
      <c r="E11" s="11">
        <f>SUM(D4:D11)</f>
        <v>17</v>
      </c>
      <c r="F11">
        <v>0</v>
      </c>
      <c r="G11" s="2">
        <v>1</v>
      </c>
      <c r="H11" s="11">
        <f>SUM(F4:F11)</f>
        <v>7</v>
      </c>
      <c r="I11" s="2">
        <v>1</v>
      </c>
      <c r="K11">
        <v>0</v>
      </c>
    </row>
    <row r="12" spans="2:15">
      <c r="B12" s="1">
        <v>45438</v>
      </c>
      <c r="C12" s="1" t="str">
        <f t="shared" si="0"/>
        <v>Sunday</v>
      </c>
      <c r="D12">
        <v>2</v>
      </c>
      <c r="E12" s="11">
        <f>SUM(D4:D12)</f>
        <v>19</v>
      </c>
      <c r="F12">
        <v>0</v>
      </c>
      <c r="G12" s="2">
        <v>1</v>
      </c>
      <c r="H12" s="11">
        <f>SUM(F4:F12)</f>
        <v>7</v>
      </c>
      <c r="I12" s="2">
        <v>1</v>
      </c>
      <c r="K12">
        <v>0</v>
      </c>
    </row>
    <row r="13" spans="2:15">
      <c r="B13" s="1">
        <v>45445</v>
      </c>
      <c r="C13" s="1" t="str">
        <f t="shared" si="0"/>
        <v>Sunday</v>
      </c>
      <c r="D13">
        <v>2</v>
      </c>
      <c r="E13" s="11">
        <f>SUM(D4:D13)</f>
        <v>21</v>
      </c>
      <c r="F13">
        <v>0</v>
      </c>
      <c r="G13" s="2">
        <v>1</v>
      </c>
      <c r="H13" s="11">
        <f>SUM(F8:F13)</f>
        <v>0</v>
      </c>
      <c r="I13" s="2">
        <v>1</v>
      </c>
      <c r="K13">
        <v>0</v>
      </c>
    </row>
    <row r="14" spans="2:15">
      <c r="B14" s="1">
        <v>45452</v>
      </c>
      <c r="C14" s="1" t="str">
        <f t="shared" si="0"/>
        <v>Sunday</v>
      </c>
      <c r="E14" s="11">
        <f>SUM(D4:D14)</f>
        <v>21</v>
      </c>
      <c r="F14">
        <v>0</v>
      </c>
      <c r="G14" s="2">
        <v>1</v>
      </c>
      <c r="H14" s="11">
        <f>SUM(F4:F14)</f>
        <v>7</v>
      </c>
      <c r="I14" s="2">
        <v>1</v>
      </c>
      <c r="K14">
        <v>0</v>
      </c>
    </row>
    <row r="15" spans="2:15">
      <c r="B15" s="1">
        <v>45459</v>
      </c>
      <c r="C15" s="1" t="str">
        <f t="shared" si="0"/>
        <v>Sunday</v>
      </c>
      <c r="E15" s="11">
        <f>SUM(D4:D15)</f>
        <v>21</v>
      </c>
      <c r="F15">
        <v>0</v>
      </c>
      <c r="G15" s="2">
        <v>1</v>
      </c>
      <c r="H15" s="11">
        <f>SUM(F4:F15)</f>
        <v>7</v>
      </c>
      <c r="I15" s="2">
        <v>1</v>
      </c>
      <c r="K15">
        <v>0</v>
      </c>
    </row>
    <row r="16" spans="2:15">
      <c r="B16" s="1">
        <v>45466</v>
      </c>
      <c r="C16" s="1" t="str">
        <f t="shared" si="0"/>
        <v>Sunday</v>
      </c>
      <c r="E16" s="11">
        <f>SUM(D4:D16)</f>
        <v>21</v>
      </c>
      <c r="F16">
        <v>0</v>
      </c>
      <c r="G16" s="2">
        <v>1</v>
      </c>
      <c r="H16" s="11">
        <f>SUM(F4:F16)</f>
        <v>7</v>
      </c>
      <c r="I16" s="2">
        <v>1</v>
      </c>
      <c r="K16">
        <v>0</v>
      </c>
    </row>
    <row r="17" spans="2:8">
      <c r="B17" s="1"/>
      <c r="C17" s="1"/>
      <c r="E17" s="11"/>
      <c r="G17" s="2"/>
      <c r="H17" s="11"/>
    </row>
    <row r="18" spans="2:8">
      <c r="B18" s="1"/>
      <c r="C18" s="1"/>
      <c r="E18" s="11"/>
      <c r="G18" s="2"/>
      <c r="H18" s="11"/>
    </row>
    <row r="19" spans="2:8">
      <c r="B19" s="1"/>
      <c r="C19" s="1"/>
      <c r="E19" s="11"/>
      <c r="G19" s="2"/>
      <c r="H19" s="11"/>
    </row>
    <row r="20" spans="2:8">
      <c r="B20" s="1"/>
      <c r="C20" s="1"/>
      <c r="E20" s="11"/>
      <c r="G20" s="2"/>
      <c r="H20" s="11"/>
    </row>
    <row r="21" spans="2:8">
      <c r="B21" s="1"/>
      <c r="C21" s="1"/>
      <c r="E21" s="11"/>
      <c r="G21" s="2"/>
      <c r="H21" s="11"/>
    </row>
    <row r="22" spans="2:8">
      <c r="B22" s="1"/>
      <c r="C22" s="1"/>
      <c r="E22" s="11"/>
      <c r="G22" s="2"/>
      <c r="H22" s="11"/>
    </row>
    <row r="23" spans="2:8">
      <c r="B23" s="1"/>
      <c r="C23" s="1"/>
      <c r="E23" s="11"/>
      <c r="G23" s="2"/>
      <c r="H23" s="11"/>
    </row>
    <row r="24" spans="2:8">
      <c r="B24" s="1"/>
      <c r="C24" s="1"/>
      <c r="E24" s="11"/>
      <c r="G24" s="2"/>
      <c r="H24" s="11"/>
    </row>
    <row r="25" spans="2:8">
      <c r="B25" s="1"/>
      <c r="C25" s="1"/>
      <c r="E25" s="11"/>
      <c r="G25" s="2"/>
      <c r="H25" s="11"/>
    </row>
    <row r="26" spans="2:8">
      <c r="B26" s="1"/>
      <c r="C26" s="1"/>
      <c r="E26" s="11"/>
      <c r="G26" s="2"/>
      <c r="H26" s="11"/>
    </row>
    <row r="27" spans="2:8">
      <c r="B27" s="1"/>
      <c r="C27" s="1"/>
      <c r="E27" s="11"/>
      <c r="G27" s="2"/>
      <c r="H27" s="11"/>
    </row>
    <row r="28" spans="2:8">
      <c r="B28" s="14"/>
      <c r="C28" s="1"/>
      <c r="E28" s="11"/>
    </row>
    <row r="29" spans="2:8">
      <c r="E29" s="11"/>
    </row>
    <row r="30" spans="2:8">
      <c r="E30" s="11"/>
    </row>
  </sheetData>
  <mergeCells count="2">
    <mergeCell ref="B1:K1"/>
    <mergeCell ref="B2:K2"/>
  </mergeCells>
  <conditionalFormatting sqref="I4:I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05D8A-B756-4951-A196-F18576B96171}">
  <sheetPr>
    <tabColor rgb="FFFFC000"/>
  </sheetPr>
  <dimension ref="B1:O30"/>
  <sheetViews>
    <sheetView showGridLines="0" topLeftCell="B2" workbookViewId="0">
      <selection activeCell="J11" sqref="J11"/>
    </sheetView>
  </sheetViews>
  <sheetFormatPr defaultColWidth="11" defaultRowHeight="15.75"/>
  <cols>
    <col min="3" max="3" width="15.5" customWidth="1"/>
    <col min="4" max="5" width="17" customWidth="1"/>
    <col min="6" max="6" width="25.375" customWidth="1"/>
    <col min="7" max="8" width="24.125" customWidth="1"/>
    <col min="9" max="9" width="12.875" style="2" customWidth="1"/>
    <col min="10" max="10" width="19.5" customWidth="1"/>
    <col min="11" max="11" width="22" customWidth="1"/>
    <col min="14" max="14" width="15.25" customWidth="1"/>
    <col min="15" max="15" width="16.375" customWidth="1"/>
  </cols>
  <sheetData>
    <row r="1" spans="2:15" ht="26.25"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6"/>
    </row>
    <row r="2" spans="2:15" ht="30" customHeight="1">
      <c r="B2" s="18" t="s">
        <v>17</v>
      </c>
      <c r="C2" s="18"/>
      <c r="D2" s="18"/>
      <c r="E2" s="18"/>
      <c r="F2" s="18"/>
      <c r="G2" s="18"/>
      <c r="H2" s="18"/>
      <c r="I2" s="18"/>
      <c r="J2" s="18"/>
      <c r="K2" s="18"/>
    </row>
    <row r="3" spans="2:15" s="3" customFormat="1" ht="31.5">
      <c r="B3" s="3" t="s">
        <v>2</v>
      </c>
      <c r="C3" s="5" t="s">
        <v>3</v>
      </c>
      <c r="D3" s="3" t="s">
        <v>4</v>
      </c>
      <c r="E3" s="6" t="s">
        <v>5</v>
      </c>
      <c r="F3" s="3" t="s">
        <v>6</v>
      </c>
      <c r="G3" s="3" t="s">
        <v>7</v>
      </c>
      <c r="H3" s="5" t="s">
        <v>8</v>
      </c>
      <c r="I3" s="4" t="s">
        <v>9</v>
      </c>
      <c r="J3" s="3" t="s">
        <v>10</v>
      </c>
      <c r="K3" s="3" t="s">
        <v>11</v>
      </c>
      <c r="N3" s="12" t="s">
        <v>3</v>
      </c>
      <c r="O3" s="13" t="s">
        <v>12</v>
      </c>
    </row>
    <row r="4" spans="2:15">
      <c r="B4" s="1">
        <v>45383</v>
      </c>
      <c r="C4" s="1" t="str">
        <f>TEXT(B4, "dddd")</f>
        <v>Monday</v>
      </c>
      <c r="D4">
        <v>1</v>
      </c>
      <c r="E4" s="11">
        <f>SUM(Table22[[#This Row],[Horas estudadas]])</f>
        <v>1</v>
      </c>
      <c r="F4">
        <v>2</v>
      </c>
      <c r="G4" s="2">
        <v>1</v>
      </c>
      <c r="H4" s="11">
        <f>SUM(Table22[[#This Row],[Exercícios Aplicados (qtd)]])</f>
        <v>2</v>
      </c>
      <c r="I4" s="2">
        <v>1</v>
      </c>
      <c r="K4">
        <v>0</v>
      </c>
      <c r="N4" s="7" t="s">
        <v>13</v>
      </c>
      <c r="O4" s="9">
        <f>SUMIF(Table22[Dia da Semana],N4,Table22[Exercícios Aplicados (qtd)])</f>
        <v>0</v>
      </c>
    </row>
    <row r="5" spans="2:15">
      <c r="B5" s="1">
        <v>45390</v>
      </c>
      <c r="C5" s="1" t="str">
        <f t="shared" ref="C4:C27" si="0">TEXT(B5, "dddd")</f>
        <v>Monday</v>
      </c>
      <c r="D5">
        <v>2</v>
      </c>
      <c r="E5" s="11">
        <f>SUM(D4:D5)</f>
        <v>3</v>
      </c>
      <c r="F5">
        <v>4</v>
      </c>
      <c r="G5" s="2">
        <v>1</v>
      </c>
      <c r="H5" s="11">
        <f>SUM(F4:F5)</f>
        <v>6</v>
      </c>
      <c r="I5" s="2">
        <v>1</v>
      </c>
      <c r="K5">
        <v>1</v>
      </c>
      <c r="N5" s="8" t="s">
        <v>14</v>
      </c>
      <c r="O5" s="10">
        <f>SUMIF(Table22[Dia da Semana],N5,Table22[Exercícios Aplicados (qtd)])</f>
        <v>0</v>
      </c>
    </row>
    <row r="6" spans="2:15">
      <c r="B6" s="1">
        <v>45397</v>
      </c>
      <c r="C6" s="1" t="str">
        <f t="shared" si="0"/>
        <v>Monday</v>
      </c>
      <c r="D6">
        <v>3</v>
      </c>
      <c r="E6" s="11">
        <f>SUM(D4:D6)</f>
        <v>6</v>
      </c>
      <c r="F6">
        <v>5</v>
      </c>
      <c r="G6" s="2">
        <v>1</v>
      </c>
      <c r="H6" s="11">
        <f>SUM(F4:F6)</f>
        <v>11</v>
      </c>
      <c r="I6" s="2">
        <v>1</v>
      </c>
      <c r="J6">
        <v>1</v>
      </c>
      <c r="K6">
        <v>0</v>
      </c>
      <c r="N6" s="7" t="s">
        <v>15</v>
      </c>
      <c r="O6" s="9">
        <f>SUMIF(Table22[Dia da Semana],N6,Table22[Exercícios Aplicados (qtd)])</f>
        <v>0</v>
      </c>
    </row>
    <row r="7" spans="2:15">
      <c r="B7" s="1">
        <v>45404</v>
      </c>
      <c r="C7" s="1" t="str">
        <f t="shared" si="0"/>
        <v>Monday</v>
      </c>
      <c r="D7">
        <v>2</v>
      </c>
      <c r="E7" s="11">
        <f>SUM(D4:D7)</f>
        <v>8</v>
      </c>
      <c r="F7">
        <v>2</v>
      </c>
      <c r="G7" s="2">
        <v>1</v>
      </c>
      <c r="H7" s="11">
        <f>SUM(F4:F7)</f>
        <v>13</v>
      </c>
      <c r="I7" s="2">
        <v>1</v>
      </c>
      <c r="K7">
        <v>0</v>
      </c>
      <c r="N7" s="8" t="s">
        <v>16</v>
      </c>
      <c r="O7" s="10">
        <f>SUMIF(Table22[Dia da Semana],N7,Table22[Exercícios Aplicados (qtd)])</f>
        <v>0</v>
      </c>
    </row>
    <row r="8" spans="2:15">
      <c r="B8" s="1">
        <v>45411</v>
      </c>
      <c r="C8" s="1" t="str">
        <f t="shared" si="0"/>
        <v>Monday</v>
      </c>
      <c r="D8">
        <v>0</v>
      </c>
      <c r="E8" s="11">
        <f>SUM(D4:D8)</f>
        <v>8</v>
      </c>
      <c r="F8">
        <v>0</v>
      </c>
      <c r="G8" s="2">
        <v>1</v>
      </c>
      <c r="H8" s="11">
        <f>SUM(F4:F8)</f>
        <v>13</v>
      </c>
      <c r="I8" s="2">
        <v>1</v>
      </c>
      <c r="K8">
        <v>0</v>
      </c>
    </row>
    <row r="9" spans="2:15">
      <c r="B9" s="1">
        <v>45418</v>
      </c>
      <c r="C9" s="1" t="str">
        <f t="shared" si="0"/>
        <v>Monday</v>
      </c>
      <c r="D9">
        <v>2</v>
      </c>
      <c r="E9" s="11">
        <f>SUM(D4:D9)</f>
        <v>10</v>
      </c>
      <c r="F9">
        <v>1</v>
      </c>
      <c r="G9" s="2">
        <v>1</v>
      </c>
      <c r="H9" s="11">
        <f>SUM(F4:F9)</f>
        <v>14</v>
      </c>
      <c r="I9" s="2">
        <v>1</v>
      </c>
      <c r="K9">
        <v>0</v>
      </c>
    </row>
    <row r="10" spans="2:15">
      <c r="B10" s="1">
        <v>45425</v>
      </c>
      <c r="C10" s="1" t="str">
        <f t="shared" si="0"/>
        <v>Monday</v>
      </c>
      <c r="D10">
        <v>2</v>
      </c>
      <c r="E10" s="11">
        <f>SUM(D4:D10)</f>
        <v>12</v>
      </c>
      <c r="F10">
        <v>1</v>
      </c>
      <c r="G10" s="2">
        <v>1</v>
      </c>
      <c r="H10" s="11">
        <f>SUM(F4:F10)</f>
        <v>15</v>
      </c>
      <c r="I10" s="2">
        <v>1</v>
      </c>
      <c r="K10">
        <v>0</v>
      </c>
    </row>
    <row r="11" spans="2:15">
      <c r="B11" s="1">
        <v>45432</v>
      </c>
      <c r="C11" s="1" t="str">
        <f t="shared" si="0"/>
        <v>Monday</v>
      </c>
      <c r="D11">
        <v>3</v>
      </c>
      <c r="E11" s="11">
        <f>SUM(D4:D11)</f>
        <v>15</v>
      </c>
      <c r="F11">
        <v>1</v>
      </c>
      <c r="G11" s="2">
        <v>1</v>
      </c>
      <c r="H11" s="11">
        <f>SUM(F4:F11)</f>
        <v>16</v>
      </c>
      <c r="I11" s="2">
        <v>1</v>
      </c>
      <c r="J11">
        <v>1</v>
      </c>
      <c r="K11">
        <v>0</v>
      </c>
    </row>
    <row r="12" spans="2:15">
      <c r="B12" s="1">
        <v>45439</v>
      </c>
      <c r="C12" s="1" t="str">
        <f t="shared" si="0"/>
        <v>Monday</v>
      </c>
      <c r="D12">
        <v>2</v>
      </c>
      <c r="E12" s="11">
        <f>SUM(D4:D12)</f>
        <v>17</v>
      </c>
      <c r="F12">
        <v>0</v>
      </c>
      <c r="G12" s="2">
        <v>1</v>
      </c>
      <c r="H12" s="11">
        <f>SUM(F4:F12)</f>
        <v>16</v>
      </c>
      <c r="I12" s="2">
        <v>1</v>
      </c>
      <c r="K12">
        <v>0</v>
      </c>
    </row>
    <row r="13" spans="2:15">
      <c r="B13" s="1">
        <v>45446</v>
      </c>
      <c r="C13" s="1" t="str">
        <f t="shared" si="0"/>
        <v>Monday</v>
      </c>
      <c r="E13" s="11">
        <f>SUM(D4:D13)</f>
        <v>17</v>
      </c>
      <c r="F13">
        <v>0</v>
      </c>
      <c r="G13" s="2">
        <v>1</v>
      </c>
      <c r="H13" s="11">
        <f>SUM(F8:F13)</f>
        <v>3</v>
      </c>
      <c r="I13" s="2">
        <v>1</v>
      </c>
      <c r="K13">
        <v>0</v>
      </c>
    </row>
    <row r="14" spans="2:15">
      <c r="B14" s="1">
        <v>45453</v>
      </c>
      <c r="C14" s="1" t="str">
        <f t="shared" si="0"/>
        <v>Monday</v>
      </c>
      <c r="E14" s="11">
        <f>SUM(D4:D14)</f>
        <v>17</v>
      </c>
      <c r="F14">
        <v>0</v>
      </c>
      <c r="G14" s="2">
        <v>1</v>
      </c>
      <c r="H14" s="11">
        <f>SUM(F4:F14)</f>
        <v>16</v>
      </c>
      <c r="I14" s="2">
        <v>1</v>
      </c>
      <c r="K14">
        <v>0</v>
      </c>
    </row>
    <row r="15" spans="2:15">
      <c r="B15" s="1">
        <v>45460</v>
      </c>
      <c r="C15" s="1" t="str">
        <f t="shared" si="0"/>
        <v>Monday</v>
      </c>
      <c r="E15" s="11">
        <f>SUM(D4:D15)</f>
        <v>17</v>
      </c>
      <c r="F15">
        <v>0</v>
      </c>
      <c r="G15" s="2">
        <v>1</v>
      </c>
      <c r="H15" s="11">
        <f>SUM(F4:F15)</f>
        <v>16</v>
      </c>
      <c r="I15" s="2">
        <v>1</v>
      </c>
      <c r="K15">
        <v>0</v>
      </c>
    </row>
    <row r="16" spans="2:15">
      <c r="B16" s="1">
        <v>45467</v>
      </c>
      <c r="C16" s="1" t="str">
        <f t="shared" si="0"/>
        <v>Monday</v>
      </c>
      <c r="E16" s="11">
        <f>SUM(D4:D16)</f>
        <v>17</v>
      </c>
      <c r="F16">
        <v>0</v>
      </c>
      <c r="G16" s="2">
        <v>1</v>
      </c>
      <c r="H16" s="11">
        <f>SUM(F4:F16)</f>
        <v>16</v>
      </c>
      <c r="I16" s="2">
        <v>1</v>
      </c>
      <c r="K16">
        <v>0</v>
      </c>
    </row>
    <row r="17" spans="2:8">
      <c r="B17" s="1"/>
      <c r="C17" s="1"/>
      <c r="E17" s="11"/>
      <c r="G17" s="2"/>
      <c r="H17" s="11"/>
    </row>
    <row r="18" spans="2:8">
      <c r="B18" s="1"/>
      <c r="C18" s="1"/>
      <c r="E18" s="11"/>
      <c r="G18" s="2"/>
      <c r="H18" s="11"/>
    </row>
    <row r="19" spans="2:8">
      <c r="B19" s="1"/>
      <c r="C19" s="1"/>
      <c r="E19" s="11"/>
      <c r="G19" s="2"/>
      <c r="H19" s="11"/>
    </row>
    <row r="20" spans="2:8">
      <c r="B20" s="1"/>
      <c r="C20" s="1"/>
      <c r="E20" s="11"/>
      <c r="G20" s="2"/>
      <c r="H20" s="11"/>
    </row>
    <row r="21" spans="2:8">
      <c r="B21" s="1"/>
      <c r="C21" s="1"/>
      <c r="E21" s="11"/>
      <c r="G21" s="2"/>
      <c r="H21" s="11"/>
    </row>
    <row r="22" spans="2:8">
      <c r="B22" s="1"/>
      <c r="C22" s="1"/>
      <c r="E22" s="11"/>
      <c r="G22" s="2"/>
      <c r="H22" s="11"/>
    </row>
    <row r="23" spans="2:8">
      <c r="B23" s="1"/>
      <c r="C23" s="1"/>
      <c r="E23" s="11"/>
      <c r="G23" s="2"/>
      <c r="H23" s="11"/>
    </row>
    <row r="24" spans="2:8">
      <c r="B24" s="1"/>
      <c r="C24" s="1"/>
      <c r="E24" s="11"/>
      <c r="G24" s="2"/>
      <c r="H24" s="11"/>
    </row>
    <row r="25" spans="2:8">
      <c r="B25" s="1"/>
      <c r="C25" s="1"/>
      <c r="E25" s="11"/>
      <c r="G25" s="2"/>
      <c r="H25" s="11"/>
    </row>
    <row r="26" spans="2:8">
      <c r="B26" s="1"/>
      <c r="C26" s="1"/>
      <c r="E26" s="11"/>
      <c r="G26" s="2"/>
      <c r="H26" s="11"/>
    </row>
    <row r="27" spans="2:8">
      <c r="B27" s="1"/>
      <c r="C27" s="1"/>
      <c r="E27" s="11"/>
      <c r="G27" s="2"/>
      <c r="H27" s="11"/>
    </row>
    <row r="28" spans="2:8">
      <c r="B28" s="14"/>
      <c r="C28" s="1"/>
      <c r="E28" s="11"/>
    </row>
    <row r="29" spans="2:8">
      <c r="E29" s="11"/>
    </row>
    <row r="30" spans="2:8">
      <c r="E30" s="11"/>
    </row>
  </sheetData>
  <mergeCells count="2">
    <mergeCell ref="B1:K1"/>
    <mergeCell ref="B2:K2"/>
  </mergeCells>
  <conditionalFormatting sqref="I4:I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3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8B45-0306-4521-9573-03489A9B8AFA}">
  <sheetPr>
    <tabColor rgb="FFFFFF00"/>
  </sheetPr>
  <dimension ref="B1:O30"/>
  <sheetViews>
    <sheetView showGridLines="0" topLeftCell="A7" workbookViewId="0">
      <selection activeCell="F12" sqref="F12"/>
    </sheetView>
  </sheetViews>
  <sheetFormatPr defaultColWidth="11" defaultRowHeight="15.75"/>
  <cols>
    <col min="3" max="3" width="15.5" customWidth="1"/>
    <col min="4" max="5" width="17" customWidth="1"/>
    <col min="6" max="6" width="25.375" customWidth="1"/>
    <col min="7" max="8" width="24.125" customWidth="1"/>
    <col min="9" max="9" width="12.875" style="2" customWidth="1"/>
    <col min="10" max="10" width="19.5" customWidth="1"/>
    <col min="11" max="11" width="22" customWidth="1"/>
    <col min="12" max="13" width="9"/>
    <col min="14" max="14" width="15.25" customWidth="1"/>
    <col min="15" max="15" width="16.375" customWidth="1"/>
  </cols>
  <sheetData>
    <row r="1" spans="2:15" ht="26.25"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6"/>
    </row>
    <row r="2" spans="2:15" ht="30" customHeight="1">
      <c r="B2" s="19" t="s">
        <v>18</v>
      </c>
      <c r="C2" s="19"/>
      <c r="D2" s="19"/>
      <c r="E2" s="19"/>
      <c r="F2" s="19"/>
      <c r="G2" s="19"/>
      <c r="H2" s="19"/>
      <c r="I2" s="19"/>
      <c r="J2" s="19"/>
      <c r="K2" s="19"/>
    </row>
    <row r="3" spans="2:15" s="3" customFormat="1" ht="30.75">
      <c r="B3" s="3" t="s">
        <v>2</v>
      </c>
      <c r="C3" s="5" t="s">
        <v>3</v>
      </c>
      <c r="D3" s="3" t="s">
        <v>4</v>
      </c>
      <c r="E3" s="6" t="s">
        <v>5</v>
      </c>
      <c r="F3" s="3" t="s">
        <v>6</v>
      </c>
      <c r="G3" s="3" t="s">
        <v>7</v>
      </c>
      <c r="H3" s="5" t="s">
        <v>8</v>
      </c>
      <c r="I3" s="4" t="s">
        <v>9</v>
      </c>
      <c r="J3" s="3" t="s">
        <v>10</v>
      </c>
      <c r="K3" s="3" t="s">
        <v>11</v>
      </c>
      <c r="N3" s="12" t="s">
        <v>3</v>
      </c>
      <c r="O3" s="13" t="s">
        <v>12</v>
      </c>
    </row>
    <row r="4" spans="2:15">
      <c r="B4" s="1">
        <v>45384</v>
      </c>
      <c r="C4" s="1" t="str">
        <f>TEXT(B4, "dddd")</f>
        <v>Tuesday</v>
      </c>
      <c r="D4">
        <v>2</v>
      </c>
      <c r="E4" s="11">
        <f>SUM(Table2234567[[#This Row],[Horas estudadas]])</f>
        <v>2</v>
      </c>
      <c r="F4">
        <v>4</v>
      </c>
      <c r="G4" s="2">
        <v>1</v>
      </c>
      <c r="H4" s="11">
        <f>SUM(Table2234567[[#This Row],[Exercícios Aplicados (qtd)]])</f>
        <v>4</v>
      </c>
      <c r="I4" s="2">
        <v>1</v>
      </c>
      <c r="K4">
        <v>0</v>
      </c>
      <c r="N4" s="7" t="s">
        <v>13</v>
      </c>
      <c r="O4" s="9">
        <f>SUMIF(Table2234567[Dia da Semana],N4,Table2234567[Exercícios Aplicados (qtd)])</f>
        <v>0</v>
      </c>
    </row>
    <row r="5" spans="2:15">
      <c r="B5" s="1">
        <v>45391</v>
      </c>
      <c r="C5" s="1" t="str">
        <f t="shared" ref="C5:C28" si="0">TEXT(B5, "dddd")</f>
        <v>Tuesday</v>
      </c>
      <c r="D5">
        <v>2</v>
      </c>
      <c r="E5" s="11">
        <f>SUM(D4:D5)</f>
        <v>4</v>
      </c>
      <c r="F5">
        <v>1</v>
      </c>
      <c r="G5" s="2">
        <v>1</v>
      </c>
      <c r="H5" s="11">
        <f>SUM(F4:F5)</f>
        <v>5</v>
      </c>
      <c r="I5" s="2">
        <v>1</v>
      </c>
      <c r="K5">
        <v>1</v>
      </c>
      <c r="N5" s="8" t="s">
        <v>14</v>
      </c>
      <c r="O5" s="10">
        <f>SUMIF(Table2234567[Dia da Semana],N5,Table2234567[Exercícios Aplicados (qtd)])</f>
        <v>0</v>
      </c>
    </row>
    <row r="6" spans="2:15">
      <c r="B6" s="1">
        <v>45398</v>
      </c>
      <c r="C6" s="1" t="str">
        <f t="shared" si="0"/>
        <v>Tuesday</v>
      </c>
      <c r="D6">
        <v>3</v>
      </c>
      <c r="E6" s="11">
        <f>SUM(D4:D6)</f>
        <v>7</v>
      </c>
      <c r="F6">
        <v>1</v>
      </c>
      <c r="G6" s="2">
        <v>1</v>
      </c>
      <c r="H6" s="11">
        <f>SUM(F4:F6)</f>
        <v>6</v>
      </c>
      <c r="I6" s="2">
        <v>1</v>
      </c>
      <c r="J6">
        <v>1</v>
      </c>
      <c r="K6">
        <v>1</v>
      </c>
      <c r="N6" s="7" t="s">
        <v>15</v>
      </c>
      <c r="O6" s="9">
        <f>SUMIF(Table2234567[Dia da Semana],N6,Table2234567[Exercícios Aplicados (qtd)])</f>
        <v>0</v>
      </c>
    </row>
    <row r="7" spans="2:15">
      <c r="B7" s="1">
        <v>45405</v>
      </c>
      <c r="C7" s="1" t="str">
        <f t="shared" si="0"/>
        <v>Tuesday</v>
      </c>
      <c r="D7">
        <v>1</v>
      </c>
      <c r="E7" s="11">
        <f>SUM(D4:D7)</f>
        <v>8</v>
      </c>
      <c r="F7">
        <v>0</v>
      </c>
      <c r="G7" s="2">
        <v>1</v>
      </c>
      <c r="H7" s="11">
        <f>SUM(F4:F7)</f>
        <v>6</v>
      </c>
      <c r="I7" s="2">
        <v>1</v>
      </c>
      <c r="K7">
        <v>0</v>
      </c>
      <c r="N7" s="8" t="s">
        <v>16</v>
      </c>
      <c r="O7" s="10">
        <f>SUMIF(Table2234567[Dia da Semana],N7,Table2234567[Exercícios Aplicados (qtd)])</f>
        <v>0</v>
      </c>
    </row>
    <row r="8" spans="2:15">
      <c r="B8" s="1">
        <v>45412</v>
      </c>
      <c r="C8" s="1" t="str">
        <f t="shared" si="0"/>
        <v>Tuesday</v>
      </c>
      <c r="D8">
        <v>2</v>
      </c>
      <c r="E8" s="11">
        <f>SUM(D4:D8)</f>
        <v>10</v>
      </c>
      <c r="F8">
        <v>0</v>
      </c>
      <c r="G8" s="2">
        <v>1</v>
      </c>
      <c r="H8" s="11">
        <f>SUM(F4:F8)</f>
        <v>6</v>
      </c>
      <c r="I8" s="2">
        <v>1</v>
      </c>
      <c r="K8">
        <v>0</v>
      </c>
    </row>
    <row r="9" spans="2:15">
      <c r="B9" s="1">
        <v>45419</v>
      </c>
      <c r="C9" s="1" t="str">
        <f t="shared" si="0"/>
        <v>Tuesday</v>
      </c>
      <c r="D9">
        <v>2</v>
      </c>
      <c r="E9" s="11">
        <f>SUM(D4:D9)</f>
        <v>12</v>
      </c>
      <c r="F9">
        <v>6</v>
      </c>
      <c r="G9" s="2">
        <v>1</v>
      </c>
      <c r="H9" s="11">
        <f>SUM(F4:F9)</f>
        <v>12</v>
      </c>
      <c r="I9" s="2">
        <v>1</v>
      </c>
      <c r="K9">
        <v>0</v>
      </c>
    </row>
    <row r="10" spans="2:15">
      <c r="B10" s="1">
        <v>45426</v>
      </c>
      <c r="C10" s="1" t="str">
        <f t="shared" si="0"/>
        <v>Tuesday</v>
      </c>
      <c r="D10">
        <v>2</v>
      </c>
      <c r="E10" s="11">
        <f>SUM(D4:D10)</f>
        <v>14</v>
      </c>
      <c r="F10">
        <v>4</v>
      </c>
      <c r="G10" s="2">
        <v>1</v>
      </c>
      <c r="H10" s="11">
        <f>SUM(F4:F10)</f>
        <v>16</v>
      </c>
      <c r="I10" s="2">
        <v>1</v>
      </c>
      <c r="K10">
        <v>0</v>
      </c>
    </row>
    <row r="11" spans="2:15">
      <c r="B11" s="1">
        <v>45433</v>
      </c>
      <c r="C11" s="1" t="str">
        <f t="shared" si="0"/>
        <v>Tuesday</v>
      </c>
      <c r="D11">
        <v>3</v>
      </c>
      <c r="E11" s="11">
        <f>SUM(D4:D11)</f>
        <v>17</v>
      </c>
      <c r="F11">
        <v>3</v>
      </c>
      <c r="G11" s="2">
        <v>1</v>
      </c>
      <c r="H11" s="11">
        <f>SUM(F4:F11)</f>
        <v>19</v>
      </c>
      <c r="I11" s="2">
        <v>1</v>
      </c>
      <c r="J11">
        <v>1</v>
      </c>
      <c r="K11">
        <v>0</v>
      </c>
    </row>
    <row r="12" spans="2:15">
      <c r="B12" s="1">
        <v>45440</v>
      </c>
      <c r="C12" s="1" t="str">
        <f t="shared" si="0"/>
        <v>Tuesday</v>
      </c>
      <c r="D12">
        <v>1</v>
      </c>
      <c r="E12" s="11">
        <f>SUM(D4:D12)</f>
        <v>18</v>
      </c>
      <c r="F12">
        <v>2</v>
      </c>
      <c r="G12" s="2">
        <v>1</v>
      </c>
      <c r="H12" s="11">
        <f>SUM(F4:F12)</f>
        <v>21</v>
      </c>
      <c r="I12" s="2">
        <v>1</v>
      </c>
      <c r="K12">
        <v>0</v>
      </c>
    </row>
    <row r="13" spans="2:15">
      <c r="B13" s="1">
        <v>45447</v>
      </c>
      <c r="C13" s="1" t="str">
        <f t="shared" si="0"/>
        <v>Tuesday</v>
      </c>
      <c r="E13" s="11">
        <f>SUM(D4:D13)</f>
        <v>18</v>
      </c>
      <c r="F13">
        <v>0</v>
      </c>
      <c r="G13" s="2">
        <v>1</v>
      </c>
      <c r="H13" s="11">
        <f>SUM(F8:F13)</f>
        <v>15</v>
      </c>
      <c r="I13" s="2">
        <v>1</v>
      </c>
      <c r="K13">
        <v>0</v>
      </c>
    </row>
    <row r="14" spans="2:15">
      <c r="B14" s="1">
        <v>45454</v>
      </c>
      <c r="C14" s="1" t="str">
        <f t="shared" si="0"/>
        <v>Tuesday</v>
      </c>
      <c r="E14" s="11">
        <f>SUM(D4:D14)</f>
        <v>18</v>
      </c>
      <c r="F14">
        <v>0</v>
      </c>
      <c r="G14" s="2">
        <v>1</v>
      </c>
      <c r="H14" s="11">
        <f>SUM(F4:F14)</f>
        <v>21</v>
      </c>
      <c r="I14" s="2">
        <v>1</v>
      </c>
      <c r="K14">
        <v>0</v>
      </c>
    </row>
    <row r="15" spans="2:15">
      <c r="B15" s="1">
        <v>45461</v>
      </c>
      <c r="C15" s="1" t="str">
        <f t="shared" si="0"/>
        <v>Tuesday</v>
      </c>
      <c r="E15" s="11">
        <f>SUM(D4:D15)</f>
        <v>18</v>
      </c>
      <c r="F15">
        <v>0</v>
      </c>
      <c r="G15" s="2">
        <v>1</v>
      </c>
      <c r="H15" s="11">
        <f>SUM(F4:F15)</f>
        <v>21</v>
      </c>
      <c r="I15" s="2">
        <v>1</v>
      </c>
      <c r="K15">
        <v>0</v>
      </c>
    </row>
    <row r="16" spans="2:15">
      <c r="B16" s="1">
        <v>45468</v>
      </c>
      <c r="C16" s="1" t="str">
        <f t="shared" si="0"/>
        <v>Tuesday</v>
      </c>
      <c r="E16" s="11">
        <f>SUM(D4:D16)</f>
        <v>18</v>
      </c>
      <c r="F16">
        <v>0</v>
      </c>
      <c r="G16" s="2">
        <v>1</v>
      </c>
      <c r="H16" s="11">
        <f>SUM(F4:F16)</f>
        <v>21</v>
      </c>
      <c r="I16" s="2">
        <v>1</v>
      </c>
      <c r="K16">
        <v>0</v>
      </c>
    </row>
    <row r="17" spans="2:8">
      <c r="B17" s="1"/>
      <c r="C17" s="1"/>
      <c r="E17" s="11"/>
      <c r="G17" s="2"/>
      <c r="H17" s="11"/>
    </row>
    <row r="18" spans="2:8">
      <c r="B18" s="1"/>
      <c r="C18" s="1"/>
      <c r="E18" s="11"/>
      <c r="G18" s="2"/>
      <c r="H18" s="11"/>
    </row>
    <row r="19" spans="2:8">
      <c r="B19" s="1"/>
      <c r="C19" s="1"/>
      <c r="E19" s="11"/>
      <c r="G19" s="2"/>
      <c r="H19" s="11"/>
    </row>
    <row r="20" spans="2:8">
      <c r="B20" s="1"/>
      <c r="C20" s="1"/>
      <c r="E20" s="11"/>
      <c r="G20" s="2"/>
      <c r="H20" s="11"/>
    </row>
    <row r="21" spans="2:8">
      <c r="B21" s="1"/>
      <c r="C21" s="1"/>
      <c r="E21" s="11"/>
      <c r="G21" s="2"/>
      <c r="H21" s="11"/>
    </row>
    <row r="22" spans="2:8">
      <c r="B22" s="1"/>
      <c r="C22" s="1"/>
      <c r="E22" s="11"/>
      <c r="G22" s="2"/>
      <c r="H22" s="11"/>
    </row>
    <row r="23" spans="2:8">
      <c r="B23" s="1"/>
      <c r="C23" s="1"/>
      <c r="E23" s="11"/>
      <c r="G23" s="2"/>
      <c r="H23" s="11"/>
    </row>
    <row r="24" spans="2:8">
      <c r="B24" s="1"/>
      <c r="C24" s="1"/>
      <c r="E24" s="11"/>
      <c r="G24" s="2"/>
      <c r="H24" s="11"/>
    </row>
    <row r="25" spans="2:8">
      <c r="B25" s="1"/>
      <c r="C25" s="1"/>
      <c r="E25" s="11"/>
      <c r="G25" s="2"/>
      <c r="H25" s="11"/>
    </row>
    <row r="26" spans="2:8">
      <c r="B26" s="1"/>
      <c r="C26" s="1"/>
      <c r="E26" s="11"/>
      <c r="G26" s="2"/>
      <c r="H26" s="11"/>
    </row>
    <row r="27" spans="2:8">
      <c r="B27" s="1"/>
      <c r="C27" s="1"/>
      <c r="E27" s="11"/>
      <c r="G27" s="2"/>
      <c r="H27" s="11"/>
    </row>
    <row r="28" spans="2:8">
      <c r="B28" s="14"/>
      <c r="C28" s="1"/>
      <c r="E28" s="11"/>
    </row>
    <row r="29" spans="2:8">
      <c r="E29" s="11"/>
    </row>
    <row r="30" spans="2:8">
      <c r="E30" s="11"/>
    </row>
  </sheetData>
  <mergeCells count="2">
    <mergeCell ref="B1:K1"/>
    <mergeCell ref="B2:K2"/>
  </mergeCells>
  <conditionalFormatting sqref="I4:I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235E4-003D-40D8-BB48-2BAA3ADF44EA}">
  <sheetPr>
    <tabColor rgb="FF00B050"/>
  </sheetPr>
  <dimension ref="B1:O30"/>
  <sheetViews>
    <sheetView showGridLines="0" workbookViewId="0">
      <selection activeCell="D13" sqref="D13"/>
    </sheetView>
  </sheetViews>
  <sheetFormatPr defaultColWidth="11" defaultRowHeight="15.75"/>
  <cols>
    <col min="3" max="3" width="15.5" customWidth="1"/>
    <col min="4" max="5" width="17" customWidth="1"/>
    <col min="6" max="6" width="25.375" customWidth="1"/>
    <col min="7" max="8" width="24.125" customWidth="1"/>
    <col min="9" max="9" width="12.875" style="2" customWidth="1"/>
    <col min="10" max="10" width="19.5" customWidth="1"/>
    <col min="11" max="11" width="22" customWidth="1"/>
    <col min="12" max="13" width="9"/>
    <col min="14" max="14" width="15.25" customWidth="1"/>
    <col min="15" max="15" width="16.375" customWidth="1"/>
  </cols>
  <sheetData>
    <row r="1" spans="2:15" ht="26.25"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6"/>
    </row>
    <row r="2" spans="2:15" ht="30" customHeight="1">
      <c r="B2" s="20" t="s">
        <v>19</v>
      </c>
      <c r="C2" s="20"/>
      <c r="D2" s="20"/>
      <c r="E2" s="20"/>
      <c r="F2" s="20"/>
      <c r="G2" s="20"/>
      <c r="H2" s="20"/>
      <c r="I2" s="20"/>
      <c r="J2" s="20"/>
      <c r="K2" s="20"/>
    </row>
    <row r="3" spans="2:15" s="3" customFormat="1" ht="30.75">
      <c r="B3" s="3" t="s">
        <v>2</v>
      </c>
      <c r="C3" s="5" t="s">
        <v>3</v>
      </c>
      <c r="D3" s="3" t="s">
        <v>4</v>
      </c>
      <c r="E3" s="6" t="s">
        <v>5</v>
      </c>
      <c r="F3" s="3" t="s">
        <v>6</v>
      </c>
      <c r="G3" s="3" t="s">
        <v>7</v>
      </c>
      <c r="H3" s="5" t="s">
        <v>8</v>
      </c>
      <c r="I3" s="4" t="s">
        <v>9</v>
      </c>
      <c r="J3" s="3" t="s">
        <v>10</v>
      </c>
      <c r="K3" s="3" t="s">
        <v>11</v>
      </c>
      <c r="N3" s="12" t="s">
        <v>3</v>
      </c>
      <c r="O3" s="13" t="s">
        <v>12</v>
      </c>
    </row>
    <row r="4" spans="2:15">
      <c r="B4" s="1">
        <v>45385</v>
      </c>
      <c r="C4" s="1" t="str">
        <f>TEXT(B4, "dddd")</f>
        <v>Wednesday</v>
      </c>
      <c r="D4">
        <v>3</v>
      </c>
      <c r="E4" s="11">
        <f>SUM(Table223456[[#This Row],[Horas estudadas]])</f>
        <v>3</v>
      </c>
      <c r="F4">
        <v>0</v>
      </c>
      <c r="G4" s="2">
        <v>1</v>
      </c>
      <c r="H4" s="11">
        <f>SUM(Table223456[[#This Row],[Exercícios Aplicados (qtd)]])</f>
        <v>0</v>
      </c>
      <c r="I4" s="2">
        <v>1</v>
      </c>
      <c r="K4">
        <v>1</v>
      </c>
      <c r="N4" s="7" t="s">
        <v>13</v>
      </c>
      <c r="O4" s="9">
        <f>SUMIF(Table223456[Dia da Semana],N4,Table223456[Exercícios Aplicados (qtd)])</f>
        <v>0</v>
      </c>
    </row>
    <row r="5" spans="2:15">
      <c r="B5" s="1">
        <v>45392</v>
      </c>
      <c r="C5" s="1" t="str">
        <f t="shared" ref="C5:C28" si="0">TEXT(B5, "dddd")</f>
        <v>Wednesday</v>
      </c>
      <c r="D5">
        <v>2</v>
      </c>
      <c r="E5" s="11">
        <f>SUM(D4:D5)</f>
        <v>5</v>
      </c>
      <c r="F5">
        <v>0</v>
      </c>
      <c r="G5" s="2">
        <v>1</v>
      </c>
      <c r="H5" s="11">
        <f>SUM(F4:F5)</f>
        <v>0</v>
      </c>
      <c r="I5" s="2">
        <v>1</v>
      </c>
      <c r="K5">
        <v>0</v>
      </c>
      <c r="N5" s="8" t="s">
        <v>14</v>
      </c>
      <c r="O5" s="10">
        <f>SUMIF(Table223456[Dia da Semana],N5,Table223456[Exercícios Aplicados (qtd)])</f>
        <v>0</v>
      </c>
    </row>
    <row r="6" spans="2:15">
      <c r="B6" s="1">
        <v>45399</v>
      </c>
      <c r="C6" s="1" t="str">
        <f t="shared" si="0"/>
        <v>Wednesday</v>
      </c>
      <c r="D6">
        <v>3</v>
      </c>
      <c r="E6" s="11">
        <f>SUM(D4:D6)</f>
        <v>8</v>
      </c>
      <c r="F6">
        <v>0</v>
      </c>
      <c r="G6" s="2">
        <v>1</v>
      </c>
      <c r="H6" s="11">
        <f>SUM(F4:F6)</f>
        <v>0</v>
      </c>
      <c r="I6" s="2">
        <v>1</v>
      </c>
      <c r="J6">
        <v>1</v>
      </c>
      <c r="K6">
        <v>0</v>
      </c>
      <c r="N6" s="7" t="s">
        <v>15</v>
      </c>
      <c r="O6" s="9">
        <f>SUMIF(Table223456[Dia da Semana],N6,Table223456[Exercícios Aplicados (qtd)])</f>
        <v>0</v>
      </c>
    </row>
    <row r="7" spans="2:15">
      <c r="B7" s="1">
        <v>45406</v>
      </c>
      <c r="C7" s="1" t="str">
        <f t="shared" si="0"/>
        <v>Wednesday</v>
      </c>
      <c r="D7">
        <v>2</v>
      </c>
      <c r="E7" s="11">
        <f>SUM(D4:D7)</f>
        <v>10</v>
      </c>
      <c r="F7">
        <v>0</v>
      </c>
      <c r="G7" s="2">
        <v>1</v>
      </c>
      <c r="H7" s="11">
        <f>SUM(F4:F7)</f>
        <v>0</v>
      </c>
      <c r="I7" s="2">
        <v>1</v>
      </c>
      <c r="K7">
        <v>1</v>
      </c>
      <c r="N7" s="8" t="s">
        <v>16</v>
      </c>
      <c r="O7" s="10">
        <f>SUMIF(Table223456[Dia da Semana],N7,Table223456[Exercícios Aplicados (qtd)])</f>
        <v>0</v>
      </c>
    </row>
    <row r="8" spans="2:15">
      <c r="B8" s="1">
        <v>45413</v>
      </c>
      <c r="C8" s="1" t="str">
        <f t="shared" si="0"/>
        <v>Wednesday</v>
      </c>
      <c r="D8">
        <v>2</v>
      </c>
      <c r="E8" s="11">
        <f>SUM(D4:D8)</f>
        <v>12</v>
      </c>
      <c r="F8">
        <v>0</v>
      </c>
      <c r="G8" s="2">
        <v>1</v>
      </c>
      <c r="H8" s="11">
        <f>SUM(F4:F8)</f>
        <v>0</v>
      </c>
      <c r="I8" s="2">
        <v>1</v>
      </c>
      <c r="K8">
        <v>1</v>
      </c>
    </row>
    <row r="9" spans="2:15">
      <c r="B9" s="1">
        <v>45420</v>
      </c>
      <c r="C9" s="1" t="str">
        <f t="shared" si="0"/>
        <v>Wednesday</v>
      </c>
      <c r="D9">
        <v>2</v>
      </c>
      <c r="E9" s="11">
        <f>SUM(D4:D9)</f>
        <v>14</v>
      </c>
      <c r="F9">
        <v>0</v>
      </c>
      <c r="G9" s="2">
        <v>1</v>
      </c>
      <c r="H9" s="11">
        <f>SUM(F4:F9)</f>
        <v>0</v>
      </c>
      <c r="I9" s="2">
        <v>1</v>
      </c>
      <c r="K9">
        <v>0</v>
      </c>
    </row>
    <row r="10" spans="2:15">
      <c r="B10" s="1">
        <v>45427</v>
      </c>
      <c r="C10" s="1" t="str">
        <f t="shared" si="0"/>
        <v>Wednesday</v>
      </c>
      <c r="D10">
        <v>2</v>
      </c>
      <c r="E10" s="11">
        <f>SUM(D4:D10)</f>
        <v>16</v>
      </c>
      <c r="F10">
        <v>0</v>
      </c>
      <c r="G10" s="2">
        <v>1</v>
      </c>
      <c r="H10" s="11">
        <f>SUM(F4:F10)</f>
        <v>0</v>
      </c>
      <c r="I10" s="2">
        <v>1</v>
      </c>
      <c r="K10">
        <v>0</v>
      </c>
    </row>
    <row r="11" spans="2:15">
      <c r="B11" s="1">
        <v>45434</v>
      </c>
      <c r="C11" s="1" t="str">
        <f t="shared" si="0"/>
        <v>Wednesday</v>
      </c>
      <c r="D11">
        <v>3</v>
      </c>
      <c r="E11" s="11">
        <f>SUM(D4:D11)</f>
        <v>19</v>
      </c>
      <c r="F11">
        <v>0</v>
      </c>
      <c r="G11" s="2">
        <v>1</v>
      </c>
      <c r="H11" s="11">
        <f>SUM(F4:F11)</f>
        <v>0</v>
      </c>
      <c r="I11" s="2">
        <v>1</v>
      </c>
      <c r="J11">
        <v>1</v>
      </c>
      <c r="K11">
        <v>0</v>
      </c>
    </row>
    <row r="12" spans="2:15">
      <c r="B12" s="1">
        <v>45441</v>
      </c>
      <c r="C12" s="1" t="str">
        <f t="shared" si="0"/>
        <v>Wednesday</v>
      </c>
      <c r="D12">
        <v>1</v>
      </c>
      <c r="E12" s="11">
        <f>SUM(D4:D12)</f>
        <v>20</v>
      </c>
      <c r="F12">
        <v>0</v>
      </c>
      <c r="G12" s="2">
        <v>1</v>
      </c>
      <c r="H12" s="11">
        <f>SUM(F4:F12)</f>
        <v>0</v>
      </c>
      <c r="I12" s="2">
        <v>1</v>
      </c>
      <c r="K12">
        <v>0</v>
      </c>
    </row>
    <row r="13" spans="2:15">
      <c r="B13" s="1">
        <v>45448</v>
      </c>
      <c r="C13" s="1" t="str">
        <f t="shared" si="0"/>
        <v>Wednesday</v>
      </c>
      <c r="E13" s="11">
        <f>SUM(D4:D13)</f>
        <v>20</v>
      </c>
      <c r="F13">
        <v>0</v>
      </c>
      <c r="G13" s="2">
        <v>1</v>
      </c>
      <c r="H13" s="11">
        <f>SUM(F8:F13)</f>
        <v>0</v>
      </c>
      <c r="I13" s="2">
        <v>1</v>
      </c>
      <c r="K13">
        <v>0</v>
      </c>
    </row>
    <row r="14" spans="2:15">
      <c r="B14" s="1">
        <v>45455</v>
      </c>
      <c r="C14" s="1" t="str">
        <f t="shared" si="0"/>
        <v>Wednesday</v>
      </c>
      <c r="E14" s="11">
        <f>SUM(D4:D14)</f>
        <v>20</v>
      </c>
      <c r="F14">
        <v>0</v>
      </c>
      <c r="G14" s="2">
        <v>1</v>
      </c>
      <c r="H14" s="11">
        <f>SUM(F4:F14)</f>
        <v>0</v>
      </c>
      <c r="I14" s="2">
        <v>1</v>
      </c>
      <c r="K14">
        <v>0</v>
      </c>
    </row>
    <row r="15" spans="2:15">
      <c r="B15" s="1">
        <v>45462</v>
      </c>
      <c r="C15" s="1" t="str">
        <f t="shared" si="0"/>
        <v>Wednesday</v>
      </c>
      <c r="E15" s="11">
        <f>SUM(D4:D15)</f>
        <v>20</v>
      </c>
      <c r="F15">
        <v>0</v>
      </c>
      <c r="G15" s="2">
        <v>1</v>
      </c>
      <c r="H15" s="11">
        <f>SUM(F4:F15)</f>
        <v>0</v>
      </c>
      <c r="I15" s="2">
        <v>1</v>
      </c>
      <c r="K15">
        <v>0</v>
      </c>
    </row>
    <row r="16" spans="2:15">
      <c r="B16" s="1">
        <v>45469</v>
      </c>
      <c r="C16" s="1" t="str">
        <f t="shared" si="0"/>
        <v>Wednesday</v>
      </c>
      <c r="E16" s="11">
        <f>SUM(D4:D16)</f>
        <v>20</v>
      </c>
      <c r="F16">
        <v>0</v>
      </c>
      <c r="G16" s="2">
        <v>1</v>
      </c>
      <c r="H16" s="11">
        <f>SUM(F4:F16)</f>
        <v>0</v>
      </c>
      <c r="I16" s="2">
        <v>1</v>
      </c>
      <c r="K16">
        <v>0</v>
      </c>
    </row>
    <row r="17" spans="2:8">
      <c r="B17" s="1"/>
      <c r="C17" s="1"/>
      <c r="E17" s="11"/>
      <c r="G17" s="2"/>
      <c r="H17" s="11"/>
    </row>
    <row r="18" spans="2:8">
      <c r="B18" s="1"/>
      <c r="C18" s="1"/>
      <c r="E18" s="11"/>
      <c r="G18" s="2"/>
      <c r="H18" s="11"/>
    </row>
    <row r="19" spans="2:8">
      <c r="B19" s="1"/>
      <c r="C19" s="1"/>
      <c r="E19" s="11"/>
      <c r="G19" s="2"/>
      <c r="H19" s="11"/>
    </row>
    <row r="20" spans="2:8">
      <c r="B20" s="1"/>
      <c r="C20" s="1"/>
      <c r="E20" s="11"/>
      <c r="G20" s="2"/>
      <c r="H20" s="11"/>
    </row>
    <row r="21" spans="2:8">
      <c r="B21" s="1"/>
      <c r="C21" s="1"/>
      <c r="E21" s="11"/>
      <c r="G21" s="2"/>
      <c r="H21" s="11"/>
    </row>
    <row r="22" spans="2:8">
      <c r="B22" s="1"/>
      <c r="C22" s="1"/>
      <c r="E22" s="11"/>
      <c r="G22" s="2"/>
      <c r="H22" s="11"/>
    </row>
    <row r="23" spans="2:8">
      <c r="B23" s="1"/>
      <c r="C23" s="1"/>
      <c r="E23" s="11"/>
      <c r="G23" s="2"/>
      <c r="H23" s="11"/>
    </row>
    <row r="24" spans="2:8">
      <c r="B24" s="1"/>
      <c r="C24" s="1"/>
      <c r="E24" s="11"/>
      <c r="G24" s="2"/>
      <c r="H24" s="11"/>
    </row>
    <row r="25" spans="2:8">
      <c r="B25" s="1"/>
      <c r="C25" s="1"/>
      <c r="E25" s="11"/>
      <c r="G25" s="2"/>
      <c r="H25" s="11"/>
    </row>
    <row r="26" spans="2:8">
      <c r="B26" s="1"/>
      <c r="C26" s="1"/>
      <c r="E26" s="11"/>
      <c r="G26" s="2"/>
      <c r="H26" s="11"/>
    </row>
    <row r="27" spans="2:8">
      <c r="B27" s="1"/>
      <c r="C27" s="1"/>
      <c r="E27" s="11"/>
      <c r="G27" s="2"/>
      <c r="H27" s="11"/>
    </row>
    <row r="28" spans="2:8">
      <c r="B28" s="14"/>
      <c r="C28" s="1"/>
      <c r="E28" s="11"/>
    </row>
    <row r="29" spans="2:8">
      <c r="E29" s="11"/>
    </row>
    <row r="30" spans="2:8">
      <c r="E30" s="11"/>
    </row>
  </sheetData>
  <mergeCells count="2">
    <mergeCell ref="B1:K1"/>
    <mergeCell ref="B2:K2"/>
  </mergeCells>
  <conditionalFormatting sqref="I4:I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8793-9288-4005-BEB9-A53C03CCC1CD}">
  <sheetPr>
    <tabColor rgb="FF00B0F0"/>
  </sheetPr>
  <dimension ref="B1:O30"/>
  <sheetViews>
    <sheetView showGridLines="0" topLeftCell="A4" workbookViewId="0">
      <selection activeCell="D13" sqref="D13"/>
    </sheetView>
  </sheetViews>
  <sheetFormatPr defaultColWidth="11" defaultRowHeight="15.75"/>
  <cols>
    <col min="3" max="3" width="15.5" customWidth="1"/>
    <col min="4" max="5" width="17" customWidth="1"/>
    <col min="6" max="6" width="25.375" customWidth="1"/>
    <col min="7" max="8" width="24.125" customWidth="1"/>
    <col min="9" max="9" width="12.875" style="2" customWidth="1"/>
    <col min="10" max="10" width="19.5" customWidth="1"/>
    <col min="11" max="11" width="22" customWidth="1"/>
    <col min="12" max="13" width="9"/>
    <col min="14" max="14" width="15.25" customWidth="1"/>
    <col min="15" max="15" width="16.375" customWidth="1"/>
  </cols>
  <sheetData>
    <row r="1" spans="2:15" ht="26.25"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6"/>
    </row>
    <row r="2" spans="2:15" ht="30" customHeight="1">
      <c r="B2" s="21" t="s">
        <v>20</v>
      </c>
      <c r="C2" s="21"/>
      <c r="D2" s="21"/>
      <c r="E2" s="21"/>
      <c r="F2" s="21"/>
      <c r="G2" s="21"/>
      <c r="H2" s="21"/>
      <c r="I2" s="21"/>
      <c r="J2" s="21"/>
      <c r="K2" s="21"/>
    </row>
    <row r="3" spans="2:15" s="3" customFormat="1" ht="30.75">
      <c r="B3" s="3" t="s">
        <v>2</v>
      </c>
      <c r="C3" s="5" t="s">
        <v>3</v>
      </c>
      <c r="D3" s="3" t="s">
        <v>4</v>
      </c>
      <c r="E3" s="6" t="s">
        <v>5</v>
      </c>
      <c r="F3" s="3" t="s">
        <v>6</v>
      </c>
      <c r="G3" s="3" t="s">
        <v>7</v>
      </c>
      <c r="H3" s="5" t="s">
        <v>8</v>
      </c>
      <c r="I3" s="4" t="s">
        <v>9</v>
      </c>
      <c r="J3" s="3" t="s">
        <v>10</v>
      </c>
      <c r="K3" s="3" t="s">
        <v>11</v>
      </c>
      <c r="N3" s="12" t="s">
        <v>3</v>
      </c>
      <c r="O3" s="13" t="s">
        <v>12</v>
      </c>
    </row>
    <row r="4" spans="2:15">
      <c r="B4" s="1">
        <v>45386</v>
      </c>
      <c r="C4" s="1" t="str">
        <f>TEXT(B4, "dddd")</f>
        <v>Thursday</v>
      </c>
      <c r="D4">
        <v>1</v>
      </c>
      <c r="E4" s="11">
        <f>SUM(Table2234[[#This Row],[Horas estudadas]])</f>
        <v>1</v>
      </c>
      <c r="F4">
        <v>0</v>
      </c>
      <c r="G4" s="2">
        <v>1</v>
      </c>
      <c r="H4" s="11">
        <f>SUM(Table2234[[#This Row],[Exercícios Aplicados (qtd)]])</f>
        <v>0</v>
      </c>
      <c r="I4" s="2">
        <v>1</v>
      </c>
      <c r="K4">
        <v>0</v>
      </c>
      <c r="N4" s="7" t="s">
        <v>13</v>
      </c>
      <c r="O4" s="9">
        <f>SUMIF(Table2234[Dia da Semana],N4,Table2234[Exercícios Aplicados (qtd)])</f>
        <v>0</v>
      </c>
    </row>
    <row r="5" spans="2:15">
      <c r="B5" s="1">
        <v>45393</v>
      </c>
      <c r="C5" s="1" t="str">
        <f t="shared" ref="C5:C28" si="0">TEXT(B5, "dddd")</f>
        <v>Thursday</v>
      </c>
      <c r="D5">
        <v>2</v>
      </c>
      <c r="E5" s="11">
        <f>SUM(D4:D5)</f>
        <v>3</v>
      </c>
      <c r="F5">
        <v>0</v>
      </c>
      <c r="G5" s="2">
        <v>1</v>
      </c>
      <c r="H5" s="11">
        <f>SUM(F4:F5)</f>
        <v>0</v>
      </c>
      <c r="I5" s="2">
        <v>1</v>
      </c>
      <c r="K5">
        <v>0</v>
      </c>
      <c r="N5" s="8" t="s">
        <v>14</v>
      </c>
      <c r="O5" s="10">
        <f>SUMIF(Table2234[Dia da Semana],N5,Table2234[Exercícios Aplicados (qtd)])</f>
        <v>0</v>
      </c>
    </row>
    <row r="6" spans="2:15">
      <c r="B6" s="1">
        <v>45400</v>
      </c>
      <c r="C6" s="1" t="str">
        <f t="shared" si="0"/>
        <v>Thursday</v>
      </c>
      <c r="D6">
        <v>3</v>
      </c>
      <c r="E6" s="11">
        <f>SUM(D4:D6)</f>
        <v>6</v>
      </c>
      <c r="F6">
        <v>1</v>
      </c>
      <c r="G6" s="2">
        <v>1</v>
      </c>
      <c r="H6" s="11">
        <f>SUM(F4:F6)</f>
        <v>1</v>
      </c>
      <c r="I6" s="2">
        <v>1</v>
      </c>
      <c r="J6">
        <v>1</v>
      </c>
      <c r="K6">
        <v>1</v>
      </c>
      <c r="N6" s="7" t="s">
        <v>15</v>
      </c>
      <c r="O6" s="9">
        <f>SUMIF(Table2234[Dia da Semana],N6,Table2234[Exercícios Aplicados (qtd)])</f>
        <v>0</v>
      </c>
    </row>
    <row r="7" spans="2:15">
      <c r="B7" s="1">
        <v>45407</v>
      </c>
      <c r="C7" s="1" t="str">
        <f t="shared" si="0"/>
        <v>Thursday</v>
      </c>
      <c r="D7">
        <v>2</v>
      </c>
      <c r="E7" s="11">
        <f>SUM(D4:D7)</f>
        <v>8</v>
      </c>
      <c r="F7">
        <v>0</v>
      </c>
      <c r="G7" s="2">
        <v>1</v>
      </c>
      <c r="H7" s="11">
        <f>SUM(F4:F7)</f>
        <v>1</v>
      </c>
      <c r="I7" s="2">
        <v>1</v>
      </c>
      <c r="K7">
        <v>1</v>
      </c>
      <c r="N7" s="8" t="s">
        <v>16</v>
      </c>
      <c r="O7" s="10">
        <f>SUMIF(Table2234[Dia da Semana],N7,Table2234[Exercícios Aplicados (qtd)])</f>
        <v>0</v>
      </c>
    </row>
    <row r="8" spans="2:15">
      <c r="B8" s="1">
        <v>45414</v>
      </c>
      <c r="C8" s="1" t="str">
        <f t="shared" si="0"/>
        <v>Thursday</v>
      </c>
      <c r="D8">
        <v>0</v>
      </c>
      <c r="E8" s="11">
        <f>SUM(D4:D8)</f>
        <v>8</v>
      </c>
      <c r="F8">
        <v>0</v>
      </c>
      <c r="G8" s="2">
        <v>1</v>
      </c>
      <c r="H8" s="11">
        <f>SUM(F4:F8)</f>
        <v>1</v>
      </c>
      <c r="I8" s="2">
        <v>1</v>
      </c>
      <c r="K8">
        <v>0</v>
      </c>
    </row>
    <row r="9" spans="2:15">
      <c r="B9" s="1">
        <v>45421</v>
      </c>
      <c r="C9" s="1" t="str">
        <f t="shared" si="0"/>
        <v>Thursday</v>
      </c>
      <c r="D9">
        <v>2</v>
      </c>
      <c r="E9" s="11">
        <f>SUM(D4:D9)</f>
        <v>10</v>
      </c>
      <c r="F9">
        <v>3</v>
      </c>
      <c r="G9" s="2">
        <v>1</v>
      </c>
      <c r="H9" s="11">
        <f>SUM(F4:F9)</f>
        <v>4</v>
      </c>
      <c r="I9" s="2">
        <v>1</v>
      </c>
      <c r="K9">
        <v>0</v>
      </c>
    </row>
    <row r="10" spans="2:15">
      <c r="B10" s="1">
        <v>45428</v>
      </c>
      <c r="C10" s="1" t="str">
        <f t="shared" si="0"/>
        <v>Thursday</v>
      </c>
      <c r="D10">
        <v>2</v>
      </c>
      <c r="E10" s="11">
        <f>SUM(D4:D10)</f>
        <v>12</v>
      </c>
      <c r="F10">
        <v>0</v>
      </c>
      <c r="G10" s="2">
        <v>1</v>
      </c>
      <c r="H10" s="11">
        <f>SUM(F4:F10)</f>
        <v>4</v>
      </c>
      <c r="I10" s="2">
        <v>1</v>
      </c>
      <c r="K10">
        <v>0</v>
      </c>
    </row>
    <row r="11" spans="2:15">
      <c r="B11" s="1">
        <v>45435</v>
      </c>
      <c r="C11" s="1" t="str">
        <f t="shared" si="0"/>
        <v>Thursday</v>
      </c>
      <c r="D11">
        <v>3</v>
      </c>
      <c r="E11" s="11">
        <f>SUM(D4:D11)</f>
        <v>15</v>
      </c>
      <c r="F11">
        <v>0</v>
      </c>
      <c r="G11" s="2">
        <v>1</v>
      </c>
      <c r="H11" s="11">
        <f>SUM(F4:F11)</f>
        <v>4</v>
      </c>
      <c r="I11" s="2">
        <v>1</v>
      </c>
      <c r="J11">
        <v>1</v>
      </c>
      <c r="K11">
        <v>0</v>
      </c>
    </row>
    <row r="12" spans="2:15">
      <c r="B12" s="1">
        <v>45442</v>
      </c>
      <c r="C12" s="1" t="str">
        <f t="shared" si="0"/>
        <v>Thursday</v>
      </c>
      <c r="D12">
        <v>1</v>
      </c>
      <c r="E12" s="11">
        <f>SUM(D4:D12)</f>
        <v>16</v>
      </c>
      <c r="F12">
        <v>0</v>
      </c>
      <c r="G12" s="2">
        <v>1</v>
      </c>
      <c r="H12" s="11">
        <f>SUM(F4:F12)</f>
        <v>4</v>
      </c>
      <c r="I12" s="2">
        <v>1</v>
      </c>
      <c r="K12">
        <v>0</v>
      </c>
    </row>
    <row r="13" spans="2:15">
      <c r="B13" s="1">
        <v>45449</v>
      </c>
      <c r="C13" s="1" t="str">
        <f t="shared" si="0"/>
        <v>Thursday</v>
      </c>
      <c r="E13" s="11">
        <f>SUM(D4:D13)</f>
        <v>16</v>
      </c>
      <c r="F13">
        <v>0</v>
      </c>
      <c r="G13" s="2">
        <v>1</v>
      </c>
      <c r="H13" s="11">
        <f>SUM(F8:F13)</f>
        <v>3</v>
      </c>
      <c r="I13" s="2">
        <v>1</v>
      </c>
      <c r="K13">
        <v>0</v>
      </c>
    </row>
    <row r="14" spans="2:15">
      <c r="B14" s="1">
        <v>45456</v>
      </c>
      <c r="C14" s="1" t="str">
        <f t="shared" si="0"/>
        <v>Thursday</v>
      </c>
      <c r="E14" s="11">
        <f>SUM(D4:D14)</f>
        <v>16</v>
      </c>
      <c r="F14">
        <v>0</v>
      </c>
      <c r="G14" s="2">
        <v>1</v>
      </c>
      <c r="H14" s="11">
        <f>SUM(F4:F14)</f>
        <v>4</v>
      </c>
      <c r="I14" s="2">
        <v>1</v>
      </c>
      <c r="K14">
        <v>0</v>
      </c>
    </row>
    <row r="15" spans="2:15">
      <c r="B15" s="1">
        <v>45463</v>
      </c>
      <c r="C15" s="1" t="str">
        <f t="shared" si="0"/>
        <v>Thursday</v>
      </c>
      <c r="E15" s="11">
        <f>SUM(D4:D15)</f>
        <v>16</v>
      </c>
      <c r="F15">
        <v>0</v>
      </c>
      <c r="G15" s="2">
        <v>1</v>
      </c>
      <c r="H15" s="11">
        <f>SUM(F4:F15)</f>
        <v>4</v>
      </c>
      <c r="I15" s="2">
        <v>1</v>
      </c>
      <c r="K15">
        <v>0</v>
      </c>
    </row>
    <row r="16" spans="2:15">
      <c r="B16" s="1">
        <v>45470</v>
      </c>
      <c r="C16" s="1" t="str">
        <f t="shared" si="0"/>
        <v>Thursday</v>
      </c>
      <c r="E16" s="11">
        <f>SUM(D4:D16)</f>
        <v>16</v>
      </c>
      <c r="F16">
        <v>0</v>
      </c>
      <c r="G16" s="2">
        <v>1</v>
      </c>
      <c r="H16" s="11">
        <f>SUM(F4:F16)</f>
        <v>4</v>
      </c>
      <c r="I16" s="2">
        <v>1</v>
      </c>
      <c r="K16">
        <v>0</v>
      </c>
    </row>
    <row r="17" spans="2:8">
      <c r="B17" s="1"/>
      <c r="C17" s="1"/>
      <c r="E17" s="11"/>
      <c r="G17" s="2"/>
      <c r="H17" s="11"/>
    </row>
    <row r="18" spans="2:8">
      <c r="B18" s="1"/>
      <c r="C18" s="1"/>
      <c r="E18" s="11"/>
      <c r="G18" s="2"/>
      <c r="H18" s="11"/>
    </row>
    <row r="19" spans="2:8">
      <c r="B19" s="1"/>
      <c r="C19" s="1"/>
      <c r="E19" s="11"/>
      <c r="G19" s="2"/>
      <c r="H19" s="11"/>
    </row>
    <row r="20" spans="2:8">
      <c r="B20" s="1"/>
      <c r="C20" s="1"/>
      <c r="E20" s="11"/>
      <c r="G20" s="2"/>
      <c r="H20" s="11"/>
    </row>
    <row r="21" spans="2:8">
      <c r="B21" s="1"/>
      <c r="C21" s="1"/>
      <c r="E21" s="11"/>
      <c r="G21" s="2"/>
      <c r="H21" s="11"/>
    </row>
    <row r="22" spans="2:8">
      <c r="B22" s="1"/>
      <c r="C22" s="1"/>
      <c r="E22" s="11"/>
      <c r="G22" s="2"/>
      <c r="H22" s="11"/>
    </row>
    <row r="23" spans="2:8">
      <c r="B23" s="1"/>
      <c r="C23" s="1"/>
      <c r="E23" s="11"/>
      <c r="G23" s="2"/>
      <c r="H23" s="11"/>
    </row>
    <row r="24" spans="2:8">
      <c r="B24" s="1"/>
      <c r="C24" s="1"/>
      <c r="E24" s="11"/>
      <c r="G24" s="2"/>
      <c r="H24" s="11"/>
    </row>
    <row r="25" spans="2:8">
      <c r="B25" s="1"/>
      <c r="C25" s="1"/>
      <c r="E25" s="11"/>
      <c r="G25" s="2"/>
      <c r="H25" s="11"/>
    </row>
    <row r="26" spans="2:8">
      <c r="B26" s="1"/>
      <c r="C26" s="1"/>
      <c r="E26" s="11"/>
      <c r="G26" s="2"/>
      <c r="H26" s="11"/>
    </row>
    <row r="27" spans="2:8">
      <c r="B27" s="1"/>
      <c r="C27" s="1"/>
      <c r="E27" s="11"/>
      <c r="G27" s="2"/>
      <c r="H27" s="11"/>
    </row>
    <row r="28" spans="2:8">
      <c r="B28" s="14"/>
      <c r="C28" s="1"/>
      <c r="E28" s="11"/>
    </row>
    <row r="29" spans="2:8">
      <c r="E29" s="11"/>
    </row>
    <row r="30" spans="2:8">
      <c r="E30" s="11"/>
    </row>
  </sheetData>
  <mergeCells count="2">
    <mergeCell ref="B1:K1"/>
    <mergeCell ref="B2:K2"/>
  </mergeCells>
  <conditionalFormatting sqref="I4:I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59F04-A1FB-4118-A336-4FFB70F63292}">
  <sheetPr>
    <tabColor rgb="FF0070C0"/>
  </sheetPr>
  <dimension ref="B1:O30"/>
  <sheetViews>
    <sheetView showGridLines="0" topLeftCell="A2" workbookViewId="0">
      <selection activeCell="D11" sqref="D11"/>
    </sheetView>
  </sheetViews>
  <sheetFormatPr defaultColWidth="11" defaultRowHeight="15.75"/>
  <cols>
    <col min="3" max="3" width="15.5" customWidth="1"/>
    <col min="4" max="5" width="17" customWidth="1"/>
    <col min="6" max="6" width="25.375" customWidth="1"/>
    <col min="7" max="8" width="24.125" customWidth="1"/>
    <col min="9" max="9" width="12.875" style="2" customWidth="1"/>
    <col min="10" max="10" width="19.5" customWidth="1"/>
    <col min="11" max="11" width="22" customWidth="1"/>
    <col min="12" max="13" width="9"/>
    <col min="14" max="14" width="15.25" customWidth="1"/>
    <col min="15" max="15" width="16.375" customWidth="1"/>
  </cols>
  <sheetData>
    <row r="1" spans="2:15" ht="26.25"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6"/>
    </row>
    <row r="2" spans="2:15" ht="30" customHeight="1">
      <c r="B2" s="22" t="s">
        <v>21</v>
      </c>
      <c r="C2" s="22"/>
      <c r="D2" s="22"/>
      <c r="E2" s="22"/>
      <c r="F2" s="22"/>
      <c r="G2" s="22"/>
      <c r="H2" s="22"/>
      <c r="I2" s="22"/>
      <c r="J2" s="22"/>
      <c r="K2" s="22"/>
    </row>
    <row r="3" spans="2:15" s="3" customFormat="1" ht="30.75">
      <c r="B3" s="3" t="s">
        <v>2</v>
      </c>
      <c r="C3" s="5" t="s">
        <v>3</v>
      </c>
      <c r="D3" s="3" t="s">
        <v>4</v>
      </c>
      <c r="E3" s="6" t="s">
        <v>5</v>
      </c>
      <c r="F3" s="3" t="s">
        <v>6</v>
      </c>
      <c r="G3" s="3" t="s">
        <v>7</v>
      </c>
      <c r="H3" s="5" t="s">
        <v>8</v>
      </c>
      <c r="I3" s="4" t="s">
        <v>9</v>
      </c>
      <c r="J3" s="3" t="s">
        <v>10</v>
      </c>
      <c r="K3" s="3" t="s">
        <v>11</v>
      </c>
      <c r="N3" s="12" t="s">
        <v>3</v>
      </c>
      <c r="O3" s="13" t="s">
        <v>12</v>
      </c>
    </row>
    <row r="4" spans="2:15">
      <c r="B4" s="1">
        <v>45387</v>
      </c>
      <c r="C4" s="1" t="str">
        <f>TEXT(B4, "dddd")</f>
        <v>Friday</v>
      </c>
      <c r="D4">
        <v>2</v>
      </c>
      <c r="E4" s="11">
        <f>SUM(Table22345[[#This Row],[Horas estudadas]])</f>
        <v>2</v>
      </c>
      <c r="F4">
        <v>1</v>
      </c>
      <c r="G4" s="2">
        <v>1</v>
      </c>
      <c r="H4" s="11">
        <f>SUM(Table22345[[#This Row],[Exercícios Aplicados (qtd)]])</f>
        <v>1</v>
      </c>
      <c r="I4" s="2">
        <v>1</v>
      </c>
      <c r="K4">
        <v>1</v>
      </c>
      <c r="N4" s="7" t="s">
        <v>13</v>
      </c>
      <c r="O4" s="9">
        <f>SUMIF(Table22345[Dia da Semana],N4,Table22345[Exercícios Aplicados (qtd)])</f>
        <v>0</v>
      </c>
    </row>
    <row r="5" spans="2:15">
      <c r="B5" s="1">
        <v>45394</v>
      </c>
      <c r="C5" s="1" t="str">
        <f t="shared" ref="C5:C28" si="0">TEXT(B5, "dddd")</f>
        <v>Friday</v>
      </c>
      <c r="D5">
        <v>1</v>
      </c>
      <c r="E5" s="11">
        <f>SUM(D4:D5)</f>
        <v>3</v>
      </c>
      <c r="F5">
        <v>0</v>
      </c>
      <c r="G5" s="2">
        <v>1</v>
      </c>
      <c r="H5" s="11">
        <f>SUM(F4:F5)</f>
        <v>1</v>
      </c>
      <c r="I5" s="2">
        <v>1</v>
      </c>
      <c r="K5">
        <v>0</v>
      </c>
      <c r="N5" s="8" t="s">
        <v>14</v>
      </c>
      <c r="O5" s="10">
        <f>SUMIF(Table22345[Dia da Semana],N5,Table22345[Exercícios Aplicados (qtd)])</f>
        <v>0</v>
      </c>
    </row>
    <row r="6" spans="2:15">
      <c r="B6" s="1">
        <v>45401</v>
      </c>
      <c r="C6" s="1" t="str">
        <f t="shared" si="0"/>
        <v>Friday</v>
      </c>
      <c r="D6">
        <v>3</v>
      </c>
      <c r="E6" s="11">
        <f>SUM(D4:D6)</f>
        <v>6</v>
      </c>
      <c r="F6">
        <v>1</v>
      </c>
      <c r="G6" s="2">
        <v>1</v>
      </c>
      <c r="H6" s="11">
        <f>SUM(F4:F6)</f>
        <v>2</v>
      </c>
      <c r="I6" s="2">
        <v>1</v>
      </c>
      <c r="J6">
        <v>1</v>
      </c>
      <c r="K6">
        <v>1</v>
      </c>
      <c r="N6" s="7" t="s">
        <v>15</v>
      </c>
      <c r="O6" s="9">
        <f>SUMIF(Table22345[Dia da Semana],N6,Table22345[Exercícios Aplicados (qtd)])</f>
        <v>0</v>
      </c>
    </row>
    <row r="7" spans="2:15">
      <c r="B7" s="1">
        <v>45408</v>
      </c>
      <c r="C7" s="1" t="str">
        <f t="shared" si="0"/>
        <v>Friday</v>
      </c>
      <c r="D7">
        <v>2</v>
      </c>
      <c r="E7" s="11">
        <f>SUM(D4:D7)</f>
        <v>8</v>
      </c>
      <c r="F7">
        <v>0</v>
      </c>
      <c r="G7" s="2">
        <v>1</v>
      </c>
      <c r="H7" s="11">
        <f>SUM(F4:F7)</f>
        <v>2</v>
      </c>
      <c r="I7" s="2">
        <v>1</v>
      </c>
      <c r="K7">
        <v>1</v>
      </c>
      <c r="N7" s="8" t="s">
        <v>16</v>
      </c>
      <c r="O7" s="10">
        <f>SUMIF(Table22345[Dia da Semana],N7,Table22345[Exercícios Aplicados (qtd)])</f>
        <v>0</v>
      </c>
    </row>
    <row r="8" spans="2:15">
      <c r="B8" s="1">
        <v>45415</v>
      </c>
      <c r="C8" s="1" t="str">
        <f t="shared" si="0"/>
        <v>Friday</v>
      </c>
      <c r="D8">
        <v>0</v>
      </c>
      <c r="E8" s="11">
        <f>SUM(D4:D8)</f>
        <v>8</v>
      </c>
      <c r="F8" s="15">
        <v>0</v>
      </c>
      <c r="G8" s="2">
        <v>1</v>
      </c>
      <c r="H8" s="11">
        <f>SUM(F4:F8)</f>
        <v>2</v>
      </c>
      <c r="I8" s="2">
        <v>1</v>
      </c>
      <c r="K8">
        <v>0</v>
      </c>
    </row>
    <row r="9" spans="2:15">
      <c r="B9" s="1">
        <v>45422</v>
      </c>
      <c r="C9" s="1" t="str">
        <f t="shared" si="0"/>
        <v>Friday</v>
      </c>
      <c r="D9">
        <v>2</v>
      </c>
      <c r="E9" s="11">
        <f>SUM(D4:D9)</f>
        <v>10</v>
      </c>
      <c r="F9">
        <v>1</v>
      </c>
      <c r="G9" s="2">
        <v>1</v>
      </c>
      <c r="H9" s="11">
        <f>SUM(F4:F9)</f>
        <v>3</v>
      </c>
      <c r="I9" s="2">
        <v>1</v>
      </c>
      <c r="K9">
        <v>0</v>
      </c>
    </row>
    <row r="10" spans="2:15">
      <c r="B10" s="1">
        <v>45429</v>
      </c>
      <c r="C10" s="1" t="str">
        <f t="shared" si="0"/>
        <v>Friday</v>
      </c>
      <c r="D10">
        <v>2</v>
      </c>
      <c r="E10" s="11">
        <f>SUM(D4:D10)</f>
        <v>12</v>
      </c>
      <c r="F10">
        <v>0</v>
      </c>
      <c r="G10" s="2">
        <v>1</v>
      </c>
      <c r="H10" s="11">
        <f>SUM(F4:F10)</f>
        <v>3</v>
      </c>
      <c r="I10" s="2">
        <v>1</v>
      </c>
      <c r="K10">
        <v>0</v>
      </c>
    </row>
    <row r="11" spans="2:15">
      <c r="B11" s="1">
        <v>45436</v>
      </c>
      <c r="C11" s="1" t="str">
        <f t="shared" si="0"/>
        <v>Friday</v>
      </c>
      <c r="D11">
        <v>3</v>
      </c>
      <c r="E11" s="11">
        <f>SUM(D4:D11)</f>
        <v>15</v>
      </c>
      <c r="F11">
        <v>0</v>
      </c>
      <c r="G11" s="2">
        <v>1</v>
      </c>
      <c r="H11" s="11">
        <f>SUM(F4:F11)</f>
        <v>3</v>
      </c>
      <c r="I11" s="2">
        <v>1</v>
      </c>
      <c r="J11">
        <v>1</v>
      </c>
      <c r="K11">
        <v>0</v>
      </c>
    </row>
    <row r="12" spans="2:15">
      <c r="B12" s="1">
        <v>45443</v>
      </c>
      <c r="C12" s="1" t="str">
        <f t="shared" si="0"/>
        <v>Friday</v>
      </c>
      <c r="E12" s="11">
        <f>SUM(D4:D12)</f>
        <v>15</v>
      </c>
      <c r="F12">
        <v>0</v>
      </c>
      <c r="G12" s="2">
        <v>1</v>
      </c>
      <c r="H12" s="11">
        <f>SUM(F4:F12)</f>
        <v>3</v>
      </c>
      <c r="I12" s="2">
        <v>1</v>
      </c>
      <c r="K12">
        <v>0</v>
      </c>
    </row>
    <row r="13" spans="2:15">
      <c r="B13" s="1">
        <v>45450</v>
      </c>
      <c r="C13" s="1" t="str">
        <f t="shared" si="0"/>
        <v>Friday</v>
      </c>
      <c r="E13" s="11">
        <f>SUM(D4:D13)</f>
        <v>15</v>
      </c>
      <c r="F13">
        <v>0</v>
      </c>
      <c r="G13" s="2">
        <v>1</v>
      </c>
      <c r="H13" s="11">
        <f>SUM(F8:F13)</f>
        <v>1</v>
      </c>
      <c r="I13" s="2">
        <v>1</v>
      </c>
      <c r="K13">
        <v>0</v>
      </c>
    </row>
    <row r="14" spans="2:15">
      <c r="B14" s="1">
        <v>45457</v>
      </c>
      <c r="C14" s="1" t="str">
        <f t="shared" si="0"/>
        <v>Friday</v>
      </c>
      <c r="E14" s="11">
        <f>SUM(D4:D14)</f>
        <v>15</v>
      </c>
      <c r="F14">
        <v>0</v>
      </c>
      <c r="G14" s="2">
        <v>1</v>
      </c>
      <c r="H14" s="11">
        <f>SUM(F4:F14)</f>
        <v>3</v>
      </c>
      <c r="I14" s="2">
        <v>1</v>
      </c>
      <c r="K14">
        <v>0</v>
      </c>
    </row>
    <row r="15" spans="2:15">
      <c r="B15" s="1">
        <v>45464</v>
      </c>
      <c r="C15" s="1" t="str">
        <f t="shared" si="0"/>
        <v>Friday</v>
      </c>
      <c r="E15" s="11">
        <f>SUM(D4:D15)</f>
        <v>15</v>
      </c>
      <c r="F15">
        <v>0</v>
      </c>
      <c r="G15" s="2">
        <v>1</v>
      </c>
      <c r="H15" s="11">
        <f>SUM(F4:F15)</f>
        <v>3</v>
      </c>
      <c r="I15" s="2">
        <v>1</v>
      </c>
      <c r="K15">
        <v>0</v>
      </c>
    </row>
    <row r="16" spans="2:15">
      <c r="B16" s="1">
        <v>45471</v>
      </c>
      <c r="C16" s="1" t="str">
        <f t="shared" si="0"/>
        <v>Friday</v>
      </c>
      <c r="E16" s="11">
        <f>SUM(D4:D16)</f>
        <v>15</v>
      </c>
      <c r="F16">
        <v>0</v>
      </c>
      <c r="G16" s="2">
        <v>1</v>
      </c>
      <c r="H16" s="11">
        <f>SUM(F4:F16)</f>
        <v>3</v>
      </c>
      <c r="I16" s="2">
        <v>1</v>
      </c>
      <c r="K16">
        <v>0</v>
      </c>
    </row>
    <row r="17" spans="2:8">
      <c r="B17" s="1"/>
      <c r="C17" s="1"/>
      <c r="E17" s="11"/>
      <c r="G17" s="2"/>
      <c r="H17" s="11"/>
    </row>
    <row r="18" spans="2:8">
      <c r="B18" s="1"/>
      <c r="C18" s="1"/>
      <c r="E18" s="11"/>
      <c r="G18" s="2"/>
      <c r="H18" s="11"/>
    </row>
    <row r="19" spans="2:8">
      <c r="B19" s="1"/>
      <c r="C19" s="1"/>
      <c r="E19" s="11"/>
      <c r="G19" s="2"/>
      <c r="H19" s="11"/>
    </row>
    <row r="20" spans="2:8">
      <c r="B20" s="1"/>
      <c r="C20" s="1"/>
      <c r="E20" s="11"/>
      <c r="G20" s="2"/>
      <c r="H20" s="11"/>
    </row>
    <row r="21" spans="2:8">
      <c r="B21" s="1"/>
      <c r="C21" s="1"/>
      <c r="E21" s="11"/>
      <c r="G21" s="2"/>
      <c r="H21" s="11"/>
    </row>
    <row r="22" spans="2:8">
      <c r="B22" s="1"/>
      <c r="C22" s="1"/>
      <c r="E22" s="11"/>
      <c r="G22" s="2"/>
      <c r="H22" s="11"/>
    </row>
    <row r="23" spans="2:8">
      <c r="B23" s="1"/>
      <c r="C23" s="1"/>
      <c r="E23" s="11"/>
      <c r="G23" s="2"/>
      <c r="H23" s="11"/>
    </row>
    <row r="24" spans="2:8">
      <c r="B24" s="1"/>
      <c r="C24" s="1"/>
      <c r="E24" s="11"/>
      <c r="G24" s="2"/>
      <c r="H24" s="11"/>
    </row>
    <row r="25" spans="2:8">
      <c r="B25" s="1"/>
      <c r="C25" s="1"/>
      <c r="E25" s="11"/>
      <c r="G25" s="2"/>
      <c r="H25" s="11"/>
    </row>
    <row r="26" spans="2:8">
      <c r="B26" s="1"/>
      <c r="C26" s="1"/>
      <c r="E26" s="11"/>
      <c r="G26" s="2"/>
      <c r="H26" s="11"/>
    </row>
    <row r="27" spans="2:8">
      <c r="B27" s="1"/>
      <c r="C27" s="1"/>
      <c r="E27" s="11"/>
      <c r="G27" s="2"/>
      <c r="H27" s="11"/>
    </row>
    <row r="28" spans="2:8">
      <c r="B28" s="14"/>
      <c r="C28" s="1"/>
      <c r="E28" s="11"/>
    </row>
    <row r="29" spans="2:8">
      <c r="E29" s="11"/>
    </row>
    <row r="30" spans="2:8">
      <c r="E30" s="11"/>
    </row>
  </sheetData>
  <mergeCells count="2">
    <mergeCell ref="B1:K1"/>
    <mergeCell ref="B2:K2"/>
  </mergeCells>
  <conditionalFormatting sqref="I4:I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00581-A787-47E3-97C2-E1C0C26CF326}">
  <sheetPr>
    <tabColor rgb="FF7030A0"/>
  </sheetPr>
  <dimension ref="B1:O30"/>
  <sheetViews>
    <sheetView showGridLines="0" tabSelected="1" workbookViewId="0">
      <selection activeCell="F11" sqref="F11"/>
    </sheetView>
  </sheetViews>
  <sheetFormatPr defaultColWidth="11" defaultRowHeight="15.75"/>
  <cols>
    <col min="3" max="3" width="15.5" customWidth="1"/>
    <col min="4" max="5" width="17" customWidth="1"/>
    <col min="6" max="6" width="25.375" customWidth="1"/>
    <col min="7" max="8" width="24.125" customWidth="1"/>
    <col min="9" max="9" width="12.875" style="2" customWidth="1"/>
    <col min="10" max="10" width="19.5" customWidth="1"/>
    <col min="11" max="11" width="22" customWidth="1"/>
    <col min="12" max="13" width="9"/>
    <col min="14" max="14" width="15.25" customWidth="1"/>
    <col min="15" max="15" width="16.375" customWidth="1"/>
  </cols>
  <sheetData>
    <row r="1" spans="2:15" ht="26.25"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6"/>
    </row>
    <row r="2" spans="2:15" ht="30" customHeight="1">
      <c r="B2" s="23" t="s">
        <v>22</v>
      </c>
      <c r="C2" s="23"/>
      <c r="D2" s="23"/>
      <c r="E2" s="23"/>
      <c r="F2" s="23"/>
      <c r="G2" s="23"/>
      <c r="H2" s="23"/>
      <c r="I2" s="23"/>
      <c r="J2" s="23"/>
      <c r="K2" s="23"/>
    </row>
    <row r="3" spans="2:15" s="3" customFormat="1" ht="30.75">
      <c r="B3" s="3" t="s">
        <v>2</v>
      </c>
      <c r="C3" s="5" t="s">
        <v>3</v>
      </c>
      <c r="D3" s="3" t="s">
        <v>4</v>
      </c>
      <c r="E3" s="6" t="s">
        <v>5</v>
      </c>
      <c r="F3" s="3" t="s">
        <v>6</v>
      </c>
      <c r="G3" s="3" t="s">
        <v>7</v>
      </c>
      <c r="H3" s="5" t="s">
        <v>8</v>
      </c>
      <c r="I3" s="4" t="s">
        <v>9</v>
      </c>
      <c r="J3" s="3" t="s">
        <v>10</v>
      </c>
      <c r="K3" s="3" t="s">
        <v>11</v>
      </c>
      <c r="N3" s="12" t="s">
        <v>3</v>
      </c>
      <c r="O3" s="13" t="s">
        <v>12</v>
      </c>
    </row>
    <row r="4" spans="2:15">
      <c r="B4" s="1">
        <v>45388</v>
      </c>
      <c r="C4" s="1" t="str">
        <f>TEXT(B4, "dddd")</f>
        <v>Saturday</v>
      </c>
      <c r="D4">
        <v>1</v>
      </c>
      <c r="E4" s="11">
        <f>SUM(Table223458[[#This Row],[Horas estudadas]])</f>
        <v>1</v>
      </c>
      <c r="F4">
        <v>0</v>
      </c>
      <c r="G4" s="2">
        <v>1</v>
      </c>
      <c r="H4" s="11">
        <f>SUM(Table223458[[#This Row],[Exercícios Aplicados (qtd)]])</f>
        <v>0</v>
      </c>
      <c r="I4" s="2">
        <v>1</v>
      </c>
      <c r="K4">
        <v>1</v>
      </c>
      <c r="N4" s="7" t="s">
        <v>13</v>
      </c>
      <c r="O4" s="9">
        <f>SUMIF(Table223458[Dia da Semana],N4,Table223458[Exercícios Aplicados (qtd)])</f>
        <v>0</v>
      </c>
    </row>
    <row r="5" spans="2:15">
      <c r="B5" s="1">
        <v>45395</v>
      </c>
      <c r="C5" s="1" t="str">
        <f t="shared" ref="C5:C28" si="0">TEXT(B5, "dddd")</f>
        <v>Saturday</v>
      </c>
      <c r="D5">
        <v>1</v>
      </c>
      <c r="E5" s="11">
        <f>SUM(D4:D5)</f>
        <v>2</v>
      </c>
      <c r="F5">
        <v>0</v>
      </c>
      <c r="G5" s="2">
        <v>1</v>
      </c>
      <c r="H5" s="11">
        <f>SUM(F4:F5)</f>
        <v>0</v>
      </c>
      <c r="I5" s="2">
        <v>1</v>
      </c>
      <c r="J5">
        <v>1</v>
      </c>
      <c r="K5">
        <v>1</v>
      </c>
      <c r="N5" s="8" t="s">
        <v>14</v>
      </c>
      <c r="O5" s="10">
        <f>SUMIF(Table223458[Dia da Semana],N5,Table223458[Exercícios Aplicados (qtd)])</f>
        <v>0</v>
      </c>
    </row>
    <row r="6" spans="2:15">
      <c r="B6" s="1">
        <v>45402</v>
      </c>
      <c r="C6" s="1" t="str">
        <f t="shared" si="0"/>
        <v>Saturday</v>
      </c>
      <c r="D6">
        <v>2</v>
      </c>
      <c r="E6" s="11">
        <f>SUM(D4:D6)</f>
        <v>4</v>
      </c>
      <c r="F6">
        <v>0</v>
      </c>
      <c r="G6" s="2">
        <v>1</v>
      </c>
      <c r="H6" s="11">
        <f>SUM(F4:F6)</f>
        <v>0</v>
      </c>
      <c r="I6" s="2">
        <v>1</v>
      </c>
      <c r="K6">
        <v>1</v>
      </c>
      <c r="N6" s="7" t="s">
        <v>15</v>
      </c>
      <c r="O6" s="9">
        <f>SUMIF(Table223458[Dia da Semana],N6,Table223458[Exercícios Aplicados (qtd)])</f>
        <v>0</v>
      </c>
    </row>
    <row r="7" spans="2:15">
      <c r="B7" s="1">
        <v>45409</v>
      </c>
      <c r="C7" s="1" t="str">
        <f t="shared" si="0"/>
        <v>Saturday</v>
      </c>
      <c r="D7">
        <v>1</v>
      </c>
      <c r="E7" s="11">
        <f>SUM(D4:D7)</f>
        <v>5</v>
      </c>
      <c r="F7">
        <v>0</v>
      </c>
      <c r="G7" s="2">
        <v>1</v>
      </c>
      <c r="H7" s="11">
        <f>SUM(F4:F7)</f>
        <v>0</v>
      </c>
      <c r="I7" s="2">
        <v>1</v>
      </c>
      <c r="K7">
        <v>1</v>
      </c>
      <c r="N7" s="8" t="s">
        <v>16</v>
      </c>
      <c r="O7" s="10">
        <f>SUMIF(Table223458[Dia da Semana],N7,Table223458[Exercícios Aplicados (qtd)])</f>
        <v>0</v>
      </c>
    </row>
    <row r="8" spans="2:15">
      <c r="B8" s="1">
        <v>45416</v>
      </c>
      <c r="C8" s="1" t="str">
        <f t="shared" si="0"/>
        <v>Saturday</v>
      </c>
      <c r="D8">
        <v>1</v>
      </c>
      <c r="E8" s="11">
        <f>SUM(D4:D8)</f>
        <v>6</v>
      </c>
      <c r="F8">
        <v>0</v>
      </c>
      <c r="G8" s="2">
        <v>1</v>
      </c>
      <c r="H8" s="11">
        <f>SUM(F4:F8)</f>
        <v>0</v>
      </c>
      <c r="I8" s="2">
        <v>1</v>
      </c>
      <c r="K8">
        <v>0</v>
      </c>
    </row>
    <row r="9" spans="2:15">
      <c r="B9" s="1">
        <v>45423</v>
      </c>
      <c r="C9" s="1" t="str">
        <f t="shared" si="0"/>
        <v>Saturday</v>
      </c>
      <c r="D9">
        <v>0</v>
      </c>
      <c r="E9" s="11">
        <f>SUM(D4:D9)</f>
        <v>6</v>
      </c>
      <c r="F9">
        <v>0</v>
      </c>
      <c r="G9" s="2">
        <v>1</v>
      </c>
      <c r="H9" s="11">
        <f>SUM(F4:F9)</f>
        <v>0</v>
      </c>
      <c r="I9" s="2">
        <v>1</v>
      </c>
      <c r="K9">
        <v>0</v>
      </c>
    </row>
    <row r="10" spans="2:15">
      <c r="B10" s="1">
        <v>45430</v>
      </c>
      <c r="C10" s="1" t="str">
        <f t="shared" si="0"/>
        <v>Saturday</v>
      </c>
      <c r="E10" s="11">
        <f>SUM(D4:D10)</f>
        <v>6</v>
      </c>
      <c r="F10">
        <v>0</v>
      </c>
      <c r="G10" s="2">
        <v>1</v>
      </c>
      <c r="H10" s="11">
        <f>SUM(F4:F10)</f>
        <v>0</v>
      </c>
      <c r="I10" s="2">
        <v>1</v>
      </c>
      <c r="K10">
        <v>0</v>
      </c>
    </row>
    <row r="11" spans="2:15">
      <c r="B11" s="1">
        <v>45437</v>
      </c>
      <c r="C11" s="1" t="str">
        <f t="shared" si="0"/>
        <v>Saturday</v>
      </c>
      <c r="E11" s="11">
        <f>SUM(D4:D11)</f>
        <v>6</v>
      </c>
      <c r="F11">
        <v>0</v>
      </c>
      <c r="G11" s="2">
        <v>1</v>
      </c>
      <c r="H11" s="11">
        <f>SUM(F4:F11)</f>
        <v>0</v>
      </c>
      <c r="I11" s="2">
        <v>1</v>
      </c>
      <c r="K11">
        <v>0</v>
      </c>
    </row>
    <row r="12" spans="2:15">
      <c r="B12" s="1">
        <v>45444</v>
      </c>
      <c r="C12" s="1" t="str">
        <f t="shared" si="0"/>
        <v>Saturday</v>
      </c>
      <c r="D12">
        <v>1</v>
      </c>
      <c r="E12" s="11">
        <f>SUM(D4:D12)</f>
        <v>7</v>
      </c>
      <c r="F12">
        <v>0</v>
      </c>
      <c r="G12" s="2">
        <v>1</v>
      </c>
      <c r="H12" s="11">
        <f>SUM(F4:F12)</f>
        <v>0</v>
      </c>
      <c r="I12" s="2">
        <v>1</v>
      </c>
      <c r="K12">
        <v>0</v>
      </c>
    </row>
    <row r="13" spans="2:15">
      <c r="B13" s="1">
        <v>45451</v>
      </c>
      <c r="C13" s="1" t="str">
        <f t="shared" si="0"/>
        <v>Saturday</v>
      </c>
      <c r="E13" s="11">
        <f>SUM(D4:D13)</f>
        <v>7</v>
      </c>
      <c r="F13">
        <v>0</v>
      </c>
      <c r="G13" s="2">
        <v>1</v>
      </c>
      <c r="H13" s="11">
        <f>SUM(F8:F13)</f>
        <v>0</v>
      </c>
      <c r="I13" s="2">
        <v>1</v>
      </c>
      <c r="K13">
        <v>0</v>
      </c>
    </row>
    <row r="14" spans="2:15">
      <c r="B14" s="1">
        <v>45458</v>
      </c>
      <c r="C14" s="1" t="str">
        <f t="shared" si="0"/>
        <v>Saturday</v>
      </c>
      <c r="E14" s="11">
        <f>SUM(D4:D14)</f>
        <v>7</v>
      </c>
      <c r="F14">
        <v>0</v>
      </c>
      <c r="G14" s="2">
        <v>1</v>
      </c>
      <c r="H14" s="11">
        <f>SUM(F4:F14)</f>
        <v>0</v>
      </c>
      <c r="I14" s="2">
        <v>1</v>
      </c>
      <c r="K14">
        <v>0</v>
      </c>
    </row>
    <row r="15" spans="2:15">
      <c r="B15" s="1">
        <v>45465</v>
      </c>
      <c r="C15" s="1" t="str">
        <f t="shared" si="0"/>
        <v>Saturday</v>
      </c>
      <c r="E15" s="11">
        <f>SUM(D4:D15)</f>
        <v>7</v>
      </c>
      <c r="F15">
        <v>0</v>
      </c>
      <c r="G15" s="2">
        <v>1</v>
      </c>
      <c r="H15" s="11">
        <f>SUM(F4:F15)</f>
        <v>0</v>
      </c>
      <c r="I15" s="2">
        <v>1</v>
      </c>
      <c r="K15">
        <v>0</v>
      </c>
    </row>
    <row r="16" spans="2:15">
      <c r="B16" s="1">
        <v>45472</v>
      </c>
      <c r="C16" s="1" t="str">
        <f t="shared" si="0"/>
        <v>Saturday</v>
      </c>
      <c r="E16" s="11">
        <f>SUM(D4:D16)</f>
        <v>7</v>
      </c>
      <c r="F16">
        <v>0</v>
      </c>
      <c r="G16" s="2">
        <v>1</v>
      </c>
      <c r="H16" s="11">
        <f>SUM(F4:F16)</f>
        <v>0</v>
      </c>
      <c r="I16" s="2">
        <v>1</v>
      </c>
      <c r="K16">
        <v>0</v>
      </c>
    </row>
    <row r="17" spans="2:8">
      <c r="B17" s="1"/>
      <c r="C17" s="1"/>
      <c r="E17" s="11"/>
      <c r="G17" s="2"/>
      <c r="H17" s="11"/>
    </row>
    <row r="18" spans="2:8">
      <c r="B18" s="1"/>
      <c r="C18" s="1"/>
      <c r="E18" s="11"/>
      <c r="G18" s="2"/>
      <c r="H18" s="11"/>
    </row>
    <row r="19" spans="2:8">
      <c r="B19" s="1"/>
      <c r="C19" s="1"/>
      <c r="E19" s="11"/>
      <c r="G19" s="2"/>
      <c r="H19" s="11"/>
    </row>
    <row r="20" spans="2:8">
      <c r="B20" s="1"/>
      <c r="C20" s="1"/>
      <c r="E20" s="11"/>
      <c r="G20" s="2"/>
      <c r="H20" s="11"/>
    </row>
    <row r="21" spans="2:8">
      <c r="B21" s="1"/>
      <c r="C21" s="1"/>
      <c r="E21" s="11"/>
      <c r="G21" s="2"/>
      <c r="H21" s="11"/>
    </row>
    <row r="22" spans="2:8">
      <c r="B22" s="1"/>
      <c r="C22" s="1"/>
      <c r="E22" s="11"/>
      <c r="G22" s="2"/>
      <c r="H22" s="11"/>
    </row>
    <row r="23" spans="2:8">
      <c r="B23" s="1"/>
      <c r="C23" s="1"/>
      <c r="E23" s="11"/>
      <c r="G23" s="2"/>
      <c r="H23" s="11"/>
    </row>
    <row r="24" spans="2:8">
      <c r="B24" s="1"/>
      <c r="C24" s="1"/>
      <c r="E24" s="11"/>
      <c r="G24" s="2"/>
      <c r="H24" s="11"/>
    </row>
    <row r="25" spans="2:8">
      <c r="B25" s="1"/>
      <c r="C25" s="1"/>
      <c r="E25" s="11"/>
      <c r="G25" s="2"/>
      <c r="H25" s="11"/>
    </row>
    <row r="26" spans="2:8">
      <c r="B26" s="1"/>
      <c r="C26" s="1"/>
      <c r="E26" s="11"/>
      <c r="G26" s="2"/>
      <c r="H26" s="11"/>
    </row>
    <row r="27" spans="2:8">
      <c r="B27" s="1"/>
      <c r="C27" s="1"/>
      <c r="E27" s="11"/>
      <c r="G27" s="2"/>
      <c r="H27" s="11"/>
    </row>
    <row r="28" spans="2:8">
      <c r="B28" s="14"/>
      <c r="C28" s="1"/>
      <c r="E28" s="11"/>
    </row>
    <row r="29" spans="2:8">
      <c r="E29" s="11"/>
    </row>
    <row r="30" spans="2:8">
      <c r="E30" s="11"/>
    </row>
  </sheetData>
  <mergeCells count="2">
    <mergeCell ref="B1:K1"/>
    <mergeCell ref="B2:K2"/>
  </mergeCells>
  <conditionalFormatting sqref="I4:I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64ea61-7977-4d50-ba89-ba79f2a6ac2e">
      <Terms xmlns="http://schemas.microsoft.com/office/infopath/2007/PartnerControls"/>
    </lcf76f155ced4ddcb4097134ff3c332f>
    <TaxCatchAll xmlns="3f9c344f-c3dc-4d3a-ba8b-29f4809c702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0EDCF844437C4389CD9FCE6FDF6B49" ma:contentTypeVersion="19" ma:contentTypeDescription="Crie um novo documento." ma:contentTypeScope="" ma:versionID="8d53b95a52c587c828549cd36eebf6ea">
  <xsd:schema xmlns:xsd="http://www.w3.org/2001/XMLSchema" xmlns:xs="http://www.w3.org/2001/XMLSchema" xmlns:p="http://schemas.microsoft.com/office/2006/metadata/properties" xmlns:ns2="3f9c344f-c3dc-4d3a-ba8b-29f4809c702e" xmlns:ns3="3164ea61-7977-4d50-ba89-ba79f2a6ac2e" targetNamespace="http://schemas.microsoft.com/office/2006/metadata/properties" ma:root="true" ma:fieldsID="c7366bd44983746aeb55efed973725cb" ns2:_="" ns3:_="">
    <xsd:import namespace="3f9c344f-c3dc-4d3a-ba8b-29f4809c702e"/>
    <xsd:import namespace="3164ea61-7977-4d50-ba89-ba79f2a6ac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2:TaxCatchAll" minOccurs="0"/>
                <xsd:element ref="ns3:MediaServiceDateTaken" minOccurs="0"/>
                <xsd:element ref="ns3:lcf76f155ced4ddcb4097134ff3c332f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9c344f-c3dc-4d3a-ba8b-29f4809c70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3" nillable="true" ma:displayName="Taxonomy Catch All Column" ma:hidden="true" ma:list="{bfe26879-00f7-4154-a0a6-bc4ce062ef01}" ma:internalName="TaxCatchAll" ma:showField="CatchAllData" ma:web="3f9c344f-c3dc-4d3a-ba8b-29f4809c70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4ea61-7977-4d50-ba89-ba79f2a6ac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7b9497d1-976c-460c-b354-1ae52b23e8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D0C4C2-56AD-4A8D-A714-EC8D555A0FAA}"/>
</file>

<file path=customXml/itemProps2.xml><?xml version="1.0" encoding="utf-8"?>
<ds:datastoreItem xmlns:ds="http://schemas.openxmlformats.org/officeDocument/2006/customXml" ds:itemID="{88C8DA6D-2BC2-4646-B2AD-24B3E06CFD94}"/>
</file>

<file path=customXml/itemProps3.xml><?xml version="1.0" encoding="utf-8"?>
<ds:datastoreItem xmlns:ds="http://schemas.openxmlformats.org/officeDocument/2006/customXml" ds:itemID="{51CA8FE1-CF55-4AD6-8EE2-9EB139686F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 Josua</dc:creator>
  <cp:keywords/>
  <dc:description/>
  <cp:lastModifiedBy>CAIO ACAYABA FURTADO .</cp:lastModifiedBy>
  <cp:revision/>
  <dcterms:created xsi:type="dcterms:W3CDTF">2024-03-25T14:39:24Z</dcterms:created>
  <dcterms:modified xsi:type="dcterms:W3CDTF">2024-06-03T16:24:39Z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0x010100220EDCF844437C4389CD9FCE6FDF6B49</vt:lpwstr>
  </property>
  <property fmtid="{D5CDD505-2E9C-101B-9397-08002B2CF9AE}" pid="3" name="MediaServiceImageTags">
    <vt:lpwstr/>
  </property>
</Properties>
</file>